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析底表" sheetId="1" state="visible" r:id="rId1"/>
    <sheet xmlns:r="http://schemas.openxmlformats.org/officeDocument/2006/relationships" name="规则说明" sheetId="2" state="visible" r:id="rId2"/>
  </sheets>
  <definedNames>
    <definedName name="_xlnm._FilterDatabase" localSheetId="0" hidden="1">'分析底表'!$A$1:$T$3</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0" fillId="0" borderId="0" applyAlignment="1" pivotButton="0" quotePrefix="0" xfId="0">
      <alignment vertical="center"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2" customWidth="1" min="4" max="4"/>
    <col width="40" customWidth="1" min="5" max="5"/>
    <col width="10" customWidth="1" min="6" max="6"/>
    <col width="12"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2" customWidth="1" min="17" max="17"/>
    <col width="18" customWidth="1" min="18" max="18"/>
    <col width="55" customWidth="1" min="19" max="19"/>
    <col width="55" customWidth="1" min="20" max="20"/>
  </cols>
  <sheetData>
    <row r="1">
      <c r="A1" s="1" t="inlineStr">
        <is>
          <t>课程名称</t>
        </is>
      </c>
      <c r="B1" s="1" t="inlineStr">
        <is>
          <t>课程代码</t>
        </is>
      </c>
      <c r="C1" s="1" t="inlineStr">
        <is>
          <t>开课学期</t>
        </is>
      </c>
      <c r="D1" s="1" t="inlineStr">
        <is>
          <t>课程目标编号</t>
        </is>
      </c>
      <c r="E1" s="1" t="inlineStr">
        <is>
          <t>课程目标描述</t>
        </is>
      </c>
      <c r="F1" s="1" t="inlineStr">
        <is>
          <t>参与人数</t>
        </is>
      </c>
      <c r="G1" s="1" t="inlineStr">
        <is>
          <t>综合平均达成值</t>
        </is>
      </c>
      <c r="H1" s="1" t="inlineStr">
        <is>
          <t>达标阈值</t>
        </is>
      </c>
      <c r="I1" s="1" t="inlineStr">
        <is>
          <t>是否达标</t>
        </is>
      </c>
      <c r="J1" s="1" t="inlineStr">
        <is>
          <t>0.0-0.6人数</t>
        </is>
      </c>
      <c r="K1" s="1" t="inlineStr">
        <is>
          <t>0.6-0.7人数</t>
        </is>
      </c>
      <c r="L1" s="1" t="inlineStr">
        <is>
          <t>0.7-0.8人数</t>
        </is>
      </c>
      <c r="M1" s="1" t="inlineStr">
        <is>
          <t>0.8-0.9人数</t>
        </is>
      </c>
      <c r="N1" s="1" t="inlineStr">
        <is>
          <t>0.9-1.0人数</t>
        </is>
      </c>
      <c r="O1" s="1" t="inlineStr">
        <is>
          <t>低分段占比</t>
        </is>
      </c>
      <c r="P1" s="1" t="inlineStr">
        <is>
          <t>高分段占比</t>
        </is>
      </c>
      <c r="Q1" s="1" t="inlineStr">
        <is>
          <t>结果判断</t>
        </is>
      </c>
      <c r="R1" s="1" t="inlineStr">
        <is>
          <t>主要问题判断</t>
        </is>
      </c>
      <c r="S1" s="1" t="inlineStr">
        <is>
          <t>分析摘要</t>
        </is>
      </c>
      <c r="T1" s="1" t="inlineStr">
        <is>
          <t>改进建议草稿</t>
        </is>
      </c>
    </row>
    <row r="2">
      <c r="A2" s="2" t="inlineStr">
        <is>
          <t>材料成型技术</t>
        </is>
      </c>
      <c r="B2" s="2" t="inlineStr">
        <is>
          <t>2021L1018</t>
        </is>
      </c>
      <c r="C2" s="2" t="inlineStr">
        <is>
          <t>2025-2026第一学期</t>
        </is>
      </c>
      <c r="D2" s="2" t="inlineStr">
        <is>
          <t>课程目标1</t>
        </is>
      </c>
      <c r="E2" s="2" t="inlineStr">
        <is>
          <t>2-1：能够合理应用数学、自然科学和工程科学原理，识别深地机械工程专业领域复杂工程问题的关键环节与核心参数。</t>
        </is>
      </c>
      <c r="F2" s="2" t="n">
        <v>10</v>
      </c>
      <c r="G2" s="3" t="n">
        <v>0.7024</v>
      </c>
      <c r="H2" s="3" t="n">
        <v>0.7</v>
      </c>
      <c r="I2" s="2" t="inlineStr">
        <is>
          <t>达标</t>
        </is>
      </c>
      <c r="J2" s="2" t="n">
        <v>0</v>
      </c>
      <c r="K2" s="2" t="n">
        <v>5</v>
      </c>
      <c r="L2" s="2" t="n">
        <v>4</v>
      </c>
      <c r="M2" s="2" t="n">
        <v>1</v>
      </c>
      <c r="N2" s="2" t="n">
        <v>0</v>
      </c>
      <c r="O2" s="3">
        <f>IFERROR((J2+K2)/F2,0)</f>
        <v/>
      </c>
      <c r="P2" s="3">
        <f>IFERROR((M2+N2)/F2,0)</f>
        <v/>
      </c>
      <c r="Q2" s="2">
        <f>IF(G2&gt;=0.8,"达成情况良好",IF(G2&gt;=0.7,"基本达标","达成情况偏弱"))</f>
        <v/>
      </c>
      <c r="R2" s="2">
        <f>IF(I2&lt;&gt;"达标","目标达成不足，需重点改进",IF(O2&gt;0.3,"虽达到标准，但学生掌握不均衡",IF(P2&gt;=0.4,"整体掌握较好","整体达标，但仍需持续改进")))</f>
        <v/>
      </c>
      <c r="S2" s="4">
        <f>IF(G2&gt;=0.8,"本课程目标综合平均达成值为"&amp;TEXT(G2,"0.0%")&amp;"，达到预设标准，整体达成情况良好。多数学生集中分布于较高达成区间，说明学生对该课程目标对应知识与能力掌握较为扎实，教学效果较好。",IF(G2&gt;=0.7,"本课程目标综合平均达成值为"&amp;TEXT(G2,"0.0%")&amp;"，达到预设标准，但学生达成情况存在一定差异。部分学生集中在中低达成区间，说明该课程目标虽然整体达标，但不同学生之间掌握程度不均衡，仍需在教学组织和过程指导中进一步加强。","本课程目标综合平均达成值为"&amp;TEXT(G2,"0.0%")&amp;"，未达到预设标准，说明学生在该课程目标对应知识与能力方面掌握仍有不足。中低达成区间学生占比较高，反映出教学过程中在重点内容理解、能力训练或过程指导方面仍存在薄弱环节，需要针对性改进。"))</f>
        <v/>
      </c>
      <c r="T2" s="4">
        <f>IF(LEFT(R2,4)="目标达成","后续教学中应进一步强化相关知识点讲解，突出重点与难点内容，通过增加课堂互动、案例分析和针对性训练，帮助学生加深理解并提升应用能力。",IF(R2="虽达到标准，但学生掌握不均衡","后续教学中应加强分层指导与过程跟踪，对基础较弱学生进行重点帮扶，同时通过讨论、练习和反馈机制提升整体学习效果，缩小学生之间的达成差异。","后续教学中应继续保持现有教学安排，同时结合案例分析、课堂讨论与实践训练，进一步巩固学生对课程目标相关知识与能力的掌握。"))</f>
        <v/>
      </c>
    </row>
    <row r="3">
      <c r="A3" s="2" t="inlineStr">
        <is>
          <t>材料成型技术</t>
        </is>
      </c>
      <c r="B3" s="2" t="inlineStr">
        <is>
          <t>2021L1018</t>
        </is>
      </c>
      <c r="C3" s="2" t="inlineStr">
        <is>
          <t>2025-2026第一学期</t>
        </is>
      </c>
      <c r="D3" s="2" t="inlineStr">
        <is>
          <t>课程目标2</t>
        </is>
      </c>
      <c r="E3" s="2" t="inlineStr">
        <is>
          <t>4-2：能够根据实验方案构建实验系统，安全地开展实验，正确地采集实验数据。</t>
        </is>
      </c>
      <c r="F3" s="2" t="n">
        <v>10</v>
      </c>
      <c r="G3" s="3" t="n">
        <v>0.8150285714285715</v>
      </c>
      <c r="H3" s="3" t="n">
        <v>0.7</v>
      </c>
      <c r="I3" s="2" t="inlineStr">
        <is>
          <t>达标</t>
        </is>
      </c>
      <c r="J3" s="2" t="n">
        <v>1</v>
      </c>
      <c r="K3" s="2" t="n">
        <v>0</v>
      </c>
      <c r="L3" s="2" t="n">
        <v>4</v>
      </c>
      <c r="M3" s="2" t="n">
        <v>2</v>
      </c>
      <c r="N3" s="2" t="n">
        <v>2</v>
      </c>
      <c r="O3" s="3">
        <f>IFERROR((J3+K3)/F3,0)</f>
        <v/>
      </c>
      <c r="P3" s="3">
        <f>IFERROR((M3+N3)/F3,0)</f>
        <v/>
      </c>
      <c r="Q3" s="2">
        <f>IF(G3&gt;=0.8,"达成情况良好",IF(G3&gt;=0.7,"基本达标","达成情况偏弱"))</f>
        <v/>
      </c>
      <c r="R3" s="2">
        <f>IF(I3&lt;&gt;"达标","目标达成不足，需重点改进",IF(O3&gt;0.3,"虽达到标准，但学生掌握不均衡",IF(P3&gt;=0.4,"整体掌握较好","整体达标，但仍需持续改进")))</f>
        <v/>
      </c>
      <c r="S3" s="4">
        <f>IF(G3&gt;=0.8,"本课程目标综合平均达成值为"&amp;TEXT(G3,"0.0%")&amp;"，达到预设标准，整体达成情况良好。多数学生集中分布于较高达成区间，说明学生对该课程目标对应知识与能力掌握较为扎实，教学效果较好。",IF(G3&gt;=0.7,"本课程目标综合平均达成值为"&amp;TEXT(G3,"0.0%")&amp;"，达到预设标准，但学生达成情况存在一定差异。部分学生集中在中低达成区间，说明该课程目标虽然整体达标，但不同学生之间掌握程度不均衡，仍需在教学组织和过程指导中进一步加强。","本课程目标综合平均达成值为"&amp;TEXT(G3,"0.0%")&amp;"，未达到预设标准，说明学生在该课程目标对应知识与能力方面掌握仍有不足。中低达成区间学生占比较高，反映出教学过程中在重点内容理解、能力训练或过程指导方面仍存在薄弱环节，需要针对性改进。"))</f>
        <v/>
      </c>
      <c r="T3" s="4">
        <f>IF(LEFT(R3,4)="目标达成","后续教学中应进一步强化相关知识点讲解，突出重点与难点内容，通过增加课堂互动、案例分析和针对性训练，帮助学生加深理解并提升应用能力。",IF(R3="虽达到标准，但学生掌握不均衡","后续教学中应加强分层指导与过程跟踪，对基础较弱学生进行重点帮扶，同时通过讨论、练习和反馈机制提升整体学习效果，缩小学生之间的达成差异。","后续教学中应继续保持现有教学安排，同时结合案例分析、课堂讨论与实践训练，进一步巩固学生对课程目标相关知识与能力的掌握。"))</f>
        <v/>
      </c>
    </row>
  </sheetData>
  <autoFilter ref="A1:T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90" customWidth="1" min="2" max="2"/>
  </cols>
  <sheetData>
    <row r="1">
      <c r="A1" s="5" t="inlineStr">
        <is>
          <t>用途</t>
        </is>
      </c>
      <c r="B1" s="4" t="inlineStr">
        <is>
          <t>本表用于把课程目标结果表整理成达成度报告可直接使用的分析输入表。</t>
        </is>
      </c>
    </row>
    <row r="2">
      <c r="A2" s="5" t="inlineStr">
        <is>
          <t>结构要求</t>
        </is>
      </c>
      <c r="B2" s="4" t="inlineStr">
        <is>
          <t>每一行对应一个课程目标；不要再使用“字段名-字段值”的两列表形式。</t>
        </is>
      </c>
    </row>
    <row r="3">
      <c r="A3" s="5" t="inlineStr">
        <is>
          <t>低分段占比</t>
        </is>
      </c>
      <c r="B3" s="4" t="inlineStr">
        <is>
          <t>(0.0-0.6人数 + 0.6-0.7人数) / 参与人数</t>
        </is>
      </c>
    </row>
    <row r="4">
      <c r="A4" s="5" t="inlineStr">
        <is>
          <t>高分段占比</t>
        </is>
      </c>
      <c r="B4" s="4" t="inlineStr">
        <is>
          <t>(0.8-0.9人数 + 0.9-1.0人数) / 参与人数</t>
        </is>
      </c>
    </row>
    <row r="5">
      <c r="A5" s="5" t="inlineStr">
        <is>
          <t>结果判断规则</t>
        </is>
      </c>
      <c r="B5" s="4" t="inlineStr">
        <is>
          <t>综合平均达成值 ≥ 0.8：达成情况良好；0.7 ≤ 综合平均达成值 &lt; 0.8：基本达标；综合平均达成值 &lt; 0.7：达成情况偏弱。</t>
        </is>
      </c>
    </row>
    <row r="6">
      <c r="A6" s="5" t="inlineStr">
        <is>
          <t>主要问题判断规则</t>
        </is>
      </c>
      <c r="B6" s="4" t="inlineStr">
        <is>
          <t>未达标：目标达成不足，需重点改进；达标但低分段占比高：虽达到标准，但学生掌握不均衡；达标且高分段占比高：整体掌握较好。</t>
        </is>
      </c>
    </row>
    <row r="7">
      <c r="A7" s="5" t="inlineStr">
        <is>
          <t>说明</t>
        </is>
      </c>
      <c r="B7" s="4" t="inlineStr">
        <is>
          <t>当前表已按你现有的课程目标结果表自动生成示例内容，可直接作为后续报告写作输入表使用。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2026-03-17T01:49:03Z</dcterms:created>
  <dcterms:modified xmlns:dcterms="http://purl.org/dc/terms/" xmlns:xsi="http://www.w3.org/2001/XMLSchema-instance" xsi:type="dcterms:W3CDTF">2026-03-17T01:49:03Z</dcterms:modified>
</cp:coreProperties>
</file>