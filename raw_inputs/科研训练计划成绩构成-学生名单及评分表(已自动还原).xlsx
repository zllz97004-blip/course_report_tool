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E:\BaiduSyncdisk\"/>
    </mc:Choice>
  </mc:AlternateContent>
  <xr:revisionPtr revIDLastSave="0" documentId="13_ncr:1_{83FBF1CC-B422-4650-A406-11ACD2691049}" xr6:coauthVersionLast="36" xr6:coauthVersionMax="36" xr10:uidLastSave="{00000000-0000-0000-0000-000000000000}"/>
  <bookViews>
    <workbookView xWindow="0" yWindow="0" windowWidth="0" windowHeight="17805" tabRatio="513" xr2:uid="{00000000-000D-0000-FFFF-FFFF00000000}"/>
  </bookViews>
  <sheets>
    <sheet name="Sheet1" sheetId="1" r:id="rId1"/>
  </sheets>
  <definedNames>
    <definedName name="_xlnm._FilterDatabase" localSheetId="0" hidden="1">Sheet1!$A$5:$O$84</definedName>
  </definedNames>
  <calcPr calcId="191029"/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6" i="1"/>
  <c r="O85" i="1" l="1"/>
  <c r="A85" i="1"/>
  <c r="A84" i="1"/>
  <c r="O83" i="1"/>
  <c r="A83" i="1"/>
  <c r="O82" i="1"/>
  <c r="A82" i="1"/>
  <c r="O81" i="1"/>
  <c r="A81" i="1"/>
  <c r="O80" i="1"/>
  <c r="A80" i="1"/>
  <c r="O79" i="1"/>
  <c r="A79" i="1"/>
  <c r="O78" i="1"/>
  <c r="A78" i="1"/>
  <c r="O77" i="1"/>
  <c r="A77" i="1"/>
  <c r="A76" i="1"/>
  <c r="O75" i="1"/>
  <c r="A75" i="1"/>
  <c r="O74" i="1"/>
  <c r="A74" i="1"/>
  <c r="O73" i="1"/>
  <c r="A73" i="1"/>
  <c r="A72" i="1"/>
  <c r="O71" i="1"/>
  <c r="A71" i="1"/>
  <c r="O70" i="1"/>
  <c r="A70" i="1"/>
  <c r="A69" i="1"/>
  <c r="O68" i="1"/>
  <c r="A68" i="1"/>
  <c r="O67" i="1"/>
  <c r="A67" i="1"/>
  <c r="A66" i="1"/>
  <c r="O65" i="1"/>
  <c r="A65" i="1"/>
  <c r="O64" i="1"/>
  <c r="A64" i="1"/>
  <c r="O63" i="1"/>
  <c r="A63" i="1"/>
  <c r="O62" i="1"/>
  <c r="A62" i="1"/>
  <c r="A61" i="1"/>
  <c r="O60" i="1"/>
  <c r="A60" i="1"/>
  <c r="O59" i="1"/>
  <c r="A59" i="1"/>
  <c r="A58" i="1"/>
  <c r="A57" i="1"/>
  <c r="O56" i="1"/>
  <c r="A56" i="1"/>
  <c r="O55" i="1"/>
  <c r="A55" i="1"/>
  <c r="A54" i="1"/>
  <c r="A53" i="1"/>
  <c r="O52" i="1"/>
  <c r="A52" i="1"/>
  <c r="A51" i="1"/>
  <c r="A50" i="1"/>
  <c r="O49" i="1"/>
  <c r="A49" i="1"/>
  <c r="O48" i="1"/>
  <c r="A48" i="1"/>
  <c r="A47" i="1"/>
  <c r="A46" i="1"/>
  <c r="O45" i="1"/>
  <c r="A45" i="1"/>
  <c r="O44" i="1"/>
  <c r="A44" i="1"/>
  <c r="A43" i="1"/>
  <c r="A42" i="1"/>
  <c r="O41" i="1"/>
  <c r="A41" i="1"/>
  <c r="O40" i="1"/>
  <c r="A40" i="1"/>
  <c r="A39" i="1"/>
  <c r="O38" i="1"/>
  <c r="A38" i="1"/>
  <c r="A37" i="1"/>
  <c r="O36" i="1"/>
  <c r="A36" i="1"/>
  <c r="A35" i="1"/>
  <c r="O34" i="1"/>
  <c r="A34" i="1"/>
  <c r="A33" i="1"/>
  <c r="O32" i="1"/>
  <c r="A32" i="1"/>
  <c r="O31" i="1"/>
  <c r="A31" i="1"/>
  <c r="O30" i="1"/>
  <c r="A30" i="1"/>
  <c r="O29" i="1"/>
  <c r="A29" i="1"/>
  <c r="O28" i="1"/>
  <c r="A28" i="1"/>
  <c r="A27" i="1"/>
  <c r="O26" i="1"/>
  <c r="A26" i="1"/>
  <c r="O25" i="1"/>
  <c r="A25" i="1"/>
  <c r="O24" i="1"/>
  <c r="A24" i="1"/>
  <c r="A23" i="1"/>
  <c r="A22" i="1"/>
  <c r="A21" i="1"/>
  <c r="O20" i="1"/>
  <c r="A20" i="1"/>
  <c r="O19" i="1"/>
  <c r="A19" i="1"/>
  <c r="O18" i="1"/>
  <c r="A18" i="1"/>
  <c r="O17" i="1"/>
  <c r="A17" i="1"/>
  <c r="O16" i="1"/>
  <c r="A16" i="1"/>
  <c r="A15" i="1"/>
  <c r="O14" i="1"/>
  <c r="A14" i="1"/>
  <c r="A13" i="1"/>
  <c r="A12" i="1"/>
  <c r="O11" i="1"/>
  <c r="A11" i="1"/>
  <c r="O10" i="1"/>
  <c r="A10" i="1"/>
  <c r="A9" i="1"/>
  <c r="O8" i="1"/>
  <c r="A8" i="1"/>
  <c r="A7" i="1"/>
  <c r="O6" i="1"/>
  <c r="A6" i="1"/>
</calcChain>
</file>

<file path=xl/sharedStrings.xml><?xml version="1.0" encoding="utf-8"?>
<sst xmlns="http://schemas.openxmlformats.org/spreadsheetml/2006/main" count="282" uniqueCount="201">
  <si>
    <t>科研训练计划评分表</t>
  </si>
  <si>
    <t>序号</t>
  </si>
  <si>
    <t>学号</t>
  </si>
  <si>
    <t>姓名</t>
  </si>
  <si>
    <t>指导老师</t>
  </si>
  <si>
    <t>实践总结（70%）</t>
  </si>
  <si>
    <t>综合评价（20%）</t>
  </si>
  <si>
    <t>课程目标1</t>
  </si>
  <si>
    <t>课程目标2</t>
  </si>
  <si>
    <t>课程目标3</t>
  </si>
  <si>
    <t>总分</t>
  </si>
  <si>
    <t>工程与可持续发展思维
（10分）</t>
  </si>
  <si>
    <t>基本职业规范与素养（5分）</t>
  </si>
  <si>
    <t xml:space="preserve">
实践课题/企业/需求理解与分析（10分）
</t>
  </si>
  <si>
    <t>实践内容及方案总结与评价，可行性，创新性，经济性及成果等
（25分）</t>
  </si>
  <si>
    <t>团队融入与团队协作精神
（10分）</t>
  </si>
  <si>
    <t>自主学习与技术交流、总结答辩
（10分）</t>
  </si>
  <si>
    <t>实践内容及成果
（10分）</t>
  </si>
  <si>
    <t>团队融入与团队协作精神
（5分）</t>
  </si>
  <si>
    <t>201906120209</t>
  </si>
  <si>
    <t>黄山峰</t>
  </si>
  <si>
    <t>张林</t>
  </si>
  <si>
    <t>202104010108</t>
  </si>
  <si>
    <t>李彤</t>
  </si>
  <si>
    <t>汪凯</t>
  </si>
  <si>
    <t>202121010101</t>
  </si>
  <si>
    <t>李莉</t>
  </si>
  <si>
    <t>龚迪琛</t>
  </si>
  <si>
    <t>202121010102</t>
  </si>
  <si>
    <t>窦美琪</t>
  </si>
  <si>
    <t>202121010103</t>
  </si>
  <si>
    <t>张洋</t>
  </si>
  <si>
    <t>202121010109</t>
  </si>
  <si>
    <t>白雨桥</t>
  </si>
  <si>
    <t>唐忠</t>
  </si>
  <si>
    <t>202121010111</t>
  </si>
  <si>
    <t>李茂蠔</t>
  </si>
  <si>
    <t>杨红娟</t>
  </si>
  <si>
    <t>202121010112</t>
  </si>
  <si>
    <t>罗剑春</t>
  </si>
  <si>
    <t>杨兰英</t>
  </si>
  <si>
    <t>202121010117</t>
  </si>
  <si>
    <t>谭祥林</t>
  </si>
  <si>
    <t>胡波</t>
  </si>
  <si>
    <t>202121010121</t>
  </si>
  <si>
    <t>黄玺境</t>
  </si>
  <si>
    <t>202121010124</t>
  </si>
  <si>
    <t>牛永杰</t>
  </si>
  <si>
    <t>202121010127</t>
  </si>
  <si>
    <t>吴文杰</t>
  </si>
  <si>
    <t>202121010128</t>
  </si>
  <si>
    <t>于瀚程</t>
  </si>
  <si>
    <t>202121010201</t>
  </si>
  <si>
    <t>李瑶</t>
  </si>
  <si>
    <t>202121010202</t>
  </si>
  <si>
    <t>刘思宇</t>
  </si>
  <si>
    <t>202121010204</t>
  </si>
  <si>
    <t>尹念昊</t>
  </si>
  <si>
    <t>202121010205</t>
  </si>
  <si>
    <t>汤淼</t>
  </si>
  <si>
    <t>202121010207</t>
  </si>
  <si>
    <t>李明锴</t>
  </si>
  <si>
    <t>202121010208</t>
  </si>
  <si>
    <t>赵枝山</t>
  </si>
  <si>
    <t>202121010209</t>
  </si>
  <si>
    <t>杨源涛</t>
  </si>
  <si>
    <t>姜杰</t>
  </si>
  <si>
    <t>202121010210</t>
  </si>
  <si>
    <t>马灏森</t>
  </si>
  <si>
    <t>杨健</t>
  </si>
  <si>
    <t>202121010211</t>
  </si>
  <si>
    <t>戴子杰</t>
  </si>
  <si>
    <t>202121010212</t>
  </si>
  <si>
    <t>庄悦研</t>
  </si>
  <si>
    <t>202121010213</t>
  </si>
  <si>
    <t>徐毅鹏</t>
  </si>
  <si>
    <t>202121010214</t>
  </si>
  <si>
    <t>杨粤栋</t>
  </si>
  <si>
    <t>严涵</t>
  </si>
  <si>
    <t>202121010215</t>
  </si>
  <si>
    <t>安楠</t>
  </si>
  <si>
    <t>202121010217</t>
  </si>
  <si>
    <t>刘帮</t>
  </si>
  <si>
    <t>202121010218</t>
  </si>
  <si>
    <t>蔡树道</t>
  </si>
  <si>
    <t>202121010219</t>
  </si>
  <si>
    <t>李文睿</t>
  </si>
  <si>
    <t>202121010220</t>
  </si>
  <si>
    <t>李泽凯</t>
  </si>
  <si>
    <t>202121010222</t>
  </si>
  <si>
    <t>吴善楠</t>
  </si>
  <si>
    <t>202121010223</t>
  </si>
  <si>
    <t>叶英杰</t>
  </si>
  <si>
    <t>202121010225</t>
  </si>
  <si>
    <t>张鑫</t>
  </si>
  <si>
    <t>202121010228</t>
  </si>
  <si>
    <t>申园林</t>
  </si>
  <si>
    <t>202121010229</t>
  </si>
  <si>
    <t>柳应柯</t>
  </si>
  <si>
    <t>202121010230</t>
  </si>
  <si>
    <t>蒋兴准</t>
  </si>
  <si>
    <t>202121010301</t>
  </si>
  <si>
    <t>胡冰岩</t>
  </si>
  <si>
    <t>202121010303</t>
  </si>
  <si>
    <t>蒋锦东</t>
  </si>
  <si>
    <t>202121010305</t>
  </si>
  <si>
    <t>廖朴</t>
  </si>
  <si>
    <t>202121010306</t>
  </si>
  <si>
    <t>徐子贤</t>
  </si>
  <si>
    <t>202121010308</t>
  </si>
  <si>
    <t>李盈程</t>
  </si>
  <si>
    <t>202121010311</t>
  </si>
  <si>
    <t>卢义杰</t>
  </si>
  <si>
    <t>202121010314</t>
  </si>
  <si>
    <t>邱泉</t>
  </si>
  <si>
    <t>202121010315</t>
  </si>
  <si>
    <t>黄家赋</t>
  </si>
  <si>
    <t>202121010317</t>
  </si>
  <si>
    <t>谷鑫鹏</t>
  </si>
  <si>
    <t>202121010319</t>
  </si>
  <si>
    <t>张兵豪</t>
  </si>
  <si>
    <t>202121010320</t>
  </si>
  <si>
    <t>刘燚</t>
  </si>
  <si>
    <t>202121010322</t>
  </si>
  <si>
    <t>郭太燚</t>
  </si>
  <si>
    <t>202121010324</t>
  </si>
  <si>
    <t>左伟航</t>
  </si>
  <si>
    <t>202121010327</t>
  </si>
  <si>
    <t>王尧宇</t>
  </si>
  <si>
    <t>202121010328</t>
  </si>
  <si>
    <t>周浩林</t>
  </si>
  <si>
    <t>202121010329</t>
  </si>
  <si>
    <t>欧阳宇康</t>
  </si>
  <si>
    <t>202121010330</t>
  </si>
  <si>
    <t>何顺才</t>
  </si>
  <si>
    <t>202121010401</t>
  </si>
  <si>
    <t>胡庆龄</t>
  </si>
  <si>
    <t>202121010406</t>
  </si>
  <si>
    <t>习鹏福</t>
  </si>
  <si>
    <t>202121010408</t>
  </si>
  <si>
    <t>罗洋</t>
  </si>
  <si>
    <t>202121010409</t>
  </si>
  <si>
    <t>杨建坤</t>
  </si>
  <si>
    <t>202121010411</t>
  </si>
  <si>
    <t>王蓉骏</t>
  </si>
  <si>
    <t>202121010413</t>
  </si>
  <si>
    <t>严琼涛</t>
  </si>
  <si>
    <t>202121010414</t>
  </si>
  <si>
    <t>庹海涛</t>
  </si>
  <si>
    <t>202121010415</t>
  </si>
  <si>
    <t>邱楠翔</t>
  </si>
  <si>
    <t>202121010419</t>
  </si>
  <si>
    <t>郑洪扬</t>
  </si>
  <si>
    <t>202121010420</t>
  </si>
  <si>
    <t>刘俸显</t>
  </si>
  <si>
    <t>202121010421</t>
  </si>
  <si>
    <t>王晨帆</t>
  </si>
  <si>
    <t>202121010422</t>
  </si>
  <si>
    <t>梅家豪</t>
  </si>
  <si>
    <t>202121010424</t>
  </si>
  <si>
    <t>胡佳诚</t>
  </si>
  <si>
    <t>202121010425</t>
  </si>
  <si>
    <t>孙洋</t>
  </si>
  <si>
    <t>202121010426</t>
  </si>
  <si>
    <t>白啸</t>
  </si>
  <si>
    <t>202121010428</t>
  </si>
  <si>
    <t>刘林</t>
  </si>
  <si>
    <t>202121010430</t>
  </si>
  <si>
    <t>石先圣</t>
  </si>
  <si>
    <t>202121010502</t>
  </si>
  <si>
    <t>符青影</t>
  </si>
  <si>
    <t>202121010503</t>
  </si>
  <si>
    <t>张中运</t>
  </si>
  <si>
    <t>202121010505</t>
  </si>
  <si>
    <t>卿睿</t>
  </si>
  <si>
    <t>202121010506</t>
  </si>
  <si>
    <t>顾毅</t>
  </si>
  <si>
    <t>202121010507</t>
  </si>
  <si>
    <t>黄梓峻</t>
  </si>
  <si>
    <t>202121010508</t>
  </si>
  <si>
    <t>马义飞</t>
  </si>
  <si>
    <t>202121010515</t>
  </si>
  <si>
    <t>陈俣霖</t>
  </si>
  <si>
    <t>202121010516</t>
  </si>
  <si>
    <t>王敏</t>
  </si>
  <si>
    <t>202121010527</t>
  </si>
  <si>
    <t>肖央</t>
  </si>
  <si>
    <t>202121010529</t>
  </si>
  <si>
    <t>欧阳嘉睿</t>
  </si>
  <si>
    <t>期末成绩（60%）</t>
    <phoneticPr fontId="10" type="noConversion"/>
  </si>
  <si>
    <t>过程考核（40%）</t>
    <phoneticPr fontId="10" type="noConversion"/>
  </si>
  <si>
    <t>总分</t>
    <phoneticPr fontId="10" type="noConversion"/>
  </si>
  <si>
    <t>平时交流与表现（10%）</t>
    <phoneticPr fontId="10" type="noConversion"/>
  </si>
  <si>
    <t>过程检查成绩（50%）</t>
    <phoneticPr fontId="10" type="noConversion"/>
  </si>
  <si>
    <t>阶段答辩成绩（50%）</t>
    <phoneticPr fontId="10" type="noConversion"/>
  </si>
  <si>
    <t>综合应用（40分）</t>
    <phoneticPr fontId="10" type="noConversion"/>
  </si>
  <si>
    <t>团队协作（5分）</t>
    <phoneticPr fontId="10" type="noConversion"/>
  </si>
  <si>
    <t>文献学习（5分）</t>
    <phoneticPr fontId="10" type="noConversion"/>
  </si>
  <si>
    <t>综合应用（15分）</t>
    <phoneticPr fontId="10" type="noConversion"/>
  </si>
  <si>
    <t>团队协作（15分）</t>
    <phoneticPr fontId="10" type="noConversion"/>
  </si>
  <si>
    <t>文献学习（20分）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</si>
</sst>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 "/>
  </numFmts>
  <fonts count="14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</font>
    <font>
      <sz val="16"/>
      <color theme="1"/>
      <name val="微软雅黑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8" fillId="0" borderId="0"/>
    <xf numFmtId="0" fontId="9" fillId="0" borderId="0"/>
    <xf numFmtId="0" fontId="7" fillId="5" borderId="11" applyNumberFormat="0" applyFont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0" xfId="0" applyFont="1" applyAlignment="1"/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4" borderId="6" xfId="0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78" fontId="6" fillId="4" borderId="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3" fillId="0" borderId="4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2" fillId="0" borderId="0" xfId="0" applyFont="1">
      <alignment vertical="center"/>
    </xf>
    <xf numFmtId="0" fontId="12" fillId="0" borderId="0" xfId="0" applyFont="1" applyFill="1" applyBorder="1">
      <alignment vertical="center"/>
    </xf>
    <xf numFmtId="0" fontId="0" fillId="2" borderId="18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Fill="1" applyBorder="1">
      <alignment vertical="center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注释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5"/>
  <sheetViews>
    <sheetView tabSelected="1" topLeftCell="C1" zoomScale="70" zoomScaleNormal="70" workbookViewId="0">
      <pane ySplit="5" topLeftCell="A6" activePane="bottomLeft" state="frozen"/>
      <selection pane="bottomLeft" activeCell="Q14" sqref="Q14"/>
    </sheetView>
  </sheetViews>
  <sheetFormatPr defaultColWidth="9" defaultRowHeight="13.5" x14ac:dyDescent="0.15"/>
  <cols>
    <col min="1" max="1" width="6.25" customWidth="1"/>
    <col min="2" max="2" width="15.375" customWidth="1"/>
    <col min="3" max="3" width="10.375" customWidth="1"/>
    <col min="4" max="4" width="9.625" customWidth="1"/>
    <col min="5" max="5" width="10.625" customWidth="1"/>
    <col min="6" max="6" width="11.375" customWidth="1"/>
    <col min="7" max="7" width="13.375" customWidth="1"/>
    <col min="8" max="8" width="16.75" customWidth="1"/>
    <col min="9" max="9" width="13.375" customWidth="1"/>
    <col min="10" max="10" width="13.875" customWidth="1"/>
    <col min="11" max="12" width="14.5" customWidth="1"/>
    <col min="13" max="13" width="16.875" customWidth="1"/>
    <col min="14" max="14" width="28.25" customWidth="1"/>
    <col min="15" max="15" width="25.5" customWidth="1"/>
    <col min="16" max="16" width="16" customWidth="1"/>
    <col min="17" max="17" width="14.375" customWidth="1"/>
    <col min="18" max="18" width="17.25" customWidth="1"/>
    <col min="19" max="19" width="23.25" customWidth="1"/>
    <col min="20" max="20" width="16.625" customWidth="1"/>
    <col min="21" max="21" width="16.375" customWidth="1"/>
  </cols>
  <sheetData>
    <row r="1" spans="1:22" ht="27" thickTop="1" thickBot="1" x14ac:dyDescent="0.2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2" ht="48" customHeight="1" thickTop="1" thickBot="1" x14ac:dyDescent="0.2">
      <c r="A2" s="28" t="s">
        <v>189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  <c r="P2" s="28" t="s">
        <v>190</v>
      </c>
      <c r="Q2" s="29"/>
      <c r="R2" s="29"/>
      <c r="S2" s="29"/>
      <c r="T2" s="29"/>
      <c r="U2" s="29"/>
      <c r="V2" s="30"/>
    </row>
    <row r="3" spans="1:22" ht="33" customHeight="1" x14ac:dyDescent="0.15">
      <c r="A3" s="18" t="s">
        <v>1</v>
      </c>
      <c r="B3" s="20" t="s">
        <v>2</v>
      </c>
      <c r="C3" s="20" t="s">
        <v>3</v>
      </c>
      <c r="D3" s="22" t="s">
        <v>4</v>
      </c>
      <c r="E3" s="15" t="s">
        <v>5</v>
      </c>
      <c r="F3" s="15"/>
      <c r="G3" s="15"/>
      <c r="H3" s="15"/>
      <c r="I3" s="15"/>
      <c r="J3" s="15"/>
      <c r="K3" s="15" t="s">
        <v>6</v>
      </c>
      <c r="L3" s="15"/>
      <c r="M3" s="15"/>
      <c r="N3" s="33" t="s">
        <v>192</v>
      </c>
      <c r="O3" s="8"/>
      <c r="P3" s="34" t="s">
        <v>193</v>
      </c>
      <c r="Q3" s="35"/>
      <c r="R3" s="35"/>
      <c r="S3" s="35" t="s">
        <v>194</v>
      </c>
      <c r="T3" s="35"/>
      <c r="U3" s="35"/>
      <c r="V3" s="31" t="s">
        <v>10</v>
      </c>
    </row>
    <row r="4" spans="1:22" ht="33" customHeight="1" x14ac:dyDescent="0.15">
      <c r="A4" s="19"/>
      <c r="B4" s="21"/>
      <c r="C4" s="21"/>
      <c r="D4" s="23"/>
      <c r="E4" s="16" t="s">
        <v>7</v>
      </c>
      <c r="F4" s="16"/>
      <c r="G4" s="17" t="s">
        <v>8</v>
      </c>
      <c r="H4" s="17"/>
      <c r="I4" s="17"/>
      <c r="J4" s="9" t="s">
        <v>9</v>
      </c>
      <c r="K4" s="10" t="s">
        <v>7</v>
      </c>
      <c r="L4" s="17" t="s">
        <v>8</v>
      </c>
      <c r="M4" s="17"/>
      <c r="N4" s="11" t="s">
        <v>9</v>
      </c>
      <c r="O4" s="32" t="s">
        <v>191</v>
      </c>
      <c r="P4" s="40" t="s">
        <v>7</v>
      </c>
      <c r="Q4" s="37" t="s">
        <v>8</v>
      </c>
      <c r="R4" s="9" t="s">
        <v>9</v>
      </c>
      <c r="S4" s="36" t="s">
        <v>7</v>
      </c>
      <c r="T4" s="37" t="s">
        <v>8</v>
      </c>
      <c r="U4" s="9" t="s">
        <v>9</v>
      </c>
      <c r="V4" s="41"/>
    </row>
    <row r="5" spans="1:22" ht="72" customHeight="1" x14ac:dyDescent="0.15">
      <c r="A5" s="19"/>
      <c r="B5" s="21"/>
      <c r="C5" s="21"/>
      <c r="D5" s="23"/>
      <c r="E5" s="1" t="s">
        <v>11</v>
      </c>
      <c r="F5" s="1" t="s">
        <v>12</v>
      </c>
      <c r="G5" s="2" t="s">
        <v>13</v>
      </c>
      <c r="H5" s="2" t="s">
        <v>14</v>
      </c>
      <c r="I5" s="2" t="s">
        <v>15</v>
      </c>
      <c r="J5" s="12" t="s">
        <v>16</v>
      </c>
      <c r="K5" s="13" t="s">
        <v>12</v>
      </c>
      <c r="L5" s="2" t="s">
        <v>17</v>
      </c>
      <c r="M5" s="2" t="s">
        <v>18</v>
      </c>
      <c r="N5" s="12" t="s">
        <v>16</v>
      </c>
      <c r="O5" s="24"/>
      <c r="P5" s="38" t="s">
        <v>195</v>
      </c>
      <c r="Q5" s="38" t="s">
        <v>196</v>
      </c>
      <c r="R5" s="39" t="s">
        <v>197</v>
      </c>
      <c r="S5" s="38" t="s">
        <v>198</v>
      </c>
      <c r="T5" s="38" t="s">
        <v>199</v>
      </c>
      <c r="U5" s="39" t="s">
        <v>200</v>
      </c>
      <c r="V5" s="41"/>
    </row>
    <row r="6" spans="1:22" ht="20.100000000000001" customHeight="1" x14ac:dyDescent="0.4">
      <c r="A6" s="3">
        <f>ROW()-4</f>
        <v>2</v>
      </c>
      <c r="B6" s="4" t="s">
        <v>19</v>
      </c>
      <c r="C6" s="5" t="s">
        <v>20</v>
      </c>
      <c r="D6" s="6" t="s">
        <v>21</v>
      </c>
      <c r="E6" s="7">
        <v>5</v>
      </c>
      <c r="F6" s="7">
        <v>4</v>
      </c>
      <c r="G6" s="7">
        <v>8</v>
      </c>
      <c r="H6" s="7">
        <v>21</v>
      </c>
      <c r="I6" s="7">
        <v>7</v>
      </c>
      <c r="J6" s="7">
        <v>7</v>
      </c>
      <c r="K6" s="7">
        <v>4</v>
      </c>
      <c r="L6" s="7">
        <v>8</v>
      </c>
      <c r="M6" s="7">
        <v>4</v>
      </c>
      <c r="N6" s="7">
        <v>7</v>
      </c>
      <c r="O6" s="7">
        <f t="shared" ref="O6" si="0">E6+F6+G6+H6+I6+J6+K6+L6+M6+N6</f>
        <v>75</v>
      </c>
      <c r="P6" s="42">
        <v>33</v>
      </c>
      <c r="Q6" s="42">
        <v>3</v>
      </c>
      <c r="R6" s="42">
        <v>3</v>
      </c>
      <c r="S6" s="42">
        <v>12</v>
      </c>
      <c r="T6" s="42">
        <v>12</v>
      </c>
      <c r="U6" s="42">
        <v>12</v>
      </c>
      <c r="V6">
        <f>P6+Q6+R6+S6+T6+U6</f>
        <v>75</v>
      </c>
    </row>
    <row r="7" spans="1:22" ht="20.100000000000001" customHeight="1" x14ac:dyDescent="0.4">
      <c r="A7" s="3">
        <f t="shared" ref="A7:A70" si="1">ROW()-4</f>
        <v>3</v>
      </c>
      <c r="B7" s="4" t="s">
        <v>22</v>
      </c>
      <c r="C7" s="5" t="s">
        <v>23</v>
      </c>
      <c r="D7" s="6" t="s">
        <v>24</v>
      </c>
      <c r="E7" s="7">
        <v>8</v>
      </c>
      <c r="F7" s="7">
        <v>4</v>
      </c>
      <c r="G7" s="7">
        <v>7</v>
      </c>
      <c r="H7" s="7">
        <v>23</v>
      </c>
      <c r="I7" s="7">
        <v>7</v>
      </c>
      <c r="J7" s="7">
        <v>8</v>
      </c>
      <c r="K7" s="7">
        <v>5</v>
      </c>
      <c r="L7" s="7">
        <v>9</v>
      </c>
      <c r="M7" s="7">
        <v>4</v>
      </c>
      <c r="N7" s="7">
        <v>7</v>
      </c>
      <c r="O7" s="7">
        <v>82</v>
      </c>
      <c r="P7" s="42">
        <v>35</v>
      </c>
      <c r="Q7" s="42">
        <v>3</v>
      </c>
      <c r="R7" s="42">
        <v>3</v>
      </c>
      <c r="S7" s="42">
        <v>14</v>
      </c>
      <c r="T7" s="42">
        <v>12</v>
      </c>
      <c r="U7" s="42">
        <v>15</v>
      </c>
      <c r="V7">
        <f t="shared" ref="V7:V70" si="2">P7+Q7+R7+S7+T7+U7</f>
        <v>82</v>
      </c>
    </row>
    <row r="8" spans="1:22" ht="22.5" x14ac:dyDescent="0.4">
      <c r="A8" s="3">
        <f t="shared" si="1"/>
        <v>4</v>
      </c>
      <c r="B8" s="4" t="s">
        <v>25</v>
      </c>
      <c r="C8" s="5" t="s">
        <v>26</v>
      </c>
      <c r="D8" s="6" t="s">
        <v>27</v>
      </c>
      <c r="E8" s="7">
        <v>8.4</v>
      </c>
      <c r="F8" s="7">
        <v>4</v>
      </c>
      <c r="G8" s="7">
        <v>8</v>
      </c>
      <c r="H8" s="7">
        <v>22</v>
      </c>
      <c r="I8" s="7">
        <v>7.8</v>
      </c>
      <c r="J8" s="7">
        <v>8.5</v>
      </c>
      <c r="K8" s="7">
        <v>4</v>
      </c>
      <c r="L8" s="7">
        <v>8.1999999999999993</v>
      </c>
      <c r="M8" s="7">
        <v>4</v>
      </c>
      <c r="N8" s="7">
        <v>8</v>
      </c>
      <c r="O8" s="7">
        <f>SUM(E8:N8)</f>
        <v>82.899999999999991</v>
      </c>
      <c r="V8">
        <f t="shared" si="2"/>
        <v>0</v>
      </c>
    </row>
    <row r="9" spans="1:22" ht="22.5" x14ac:dyDescent="0.4">
      <c r="A9" s="3">
        <f t="shared" si="1"/>
        <v>5</v>
      </c>
      <c r="B9" s="4" t="s">
        <v>28</v>
      </c>
      <c r="C9" s="5" t="s">
        <v>29</v>
      </c>
      <c r="D9" s="6" t="s">
        <v>24</v>
      </c>
      <c r="E9" s="7">
        <v>8</v>
      </c>
      <c r="F9" s="7">
        <v>5</v>
      </c>
      <c r="G9" s="7">
        <v>8</v>
      </c>
      <c r="H9" s="7">
        <v>21</v>
      </c>
      <c r="I9" s="7">
        <v>9</v>
      </c>
      <c r="J9" s="7">
        <v>8</v>
      </c>
      <c r="K9" s="7">
        <v>4</v>
      </c>
      <c r="L9" s="7">
        <v>8</v>
      </c>
      <c r="M9" s="7">
        <v>5</v>
      </c>
      <c r="N9" s="7">
        <v>8</v>
      </c>
      <c r="O9" s="7">
        <v>84</v>
      </c>
      <c r="V9">
        <f t="shared" si="2"/>
        <v>0</v>
      </c>
    </row>
    <row r="10" spans="1:22" ht="22.5" x14ac:dyDescent="0.4">
      <c r="A10" s="3">
        <f t="shared" si="1"/>
        <v>6</v>
      </c>
      <c r="B10" s="4" t="s">
        <v>30</v>
      </c>
      <c r="C10" s="5" t="s">
        <v>31</v>
      </c>
      <c r="D10" s="6" t="s">
        <v>27</v>
      </c>
      <c r="E10" s="7">
        <v>8</v>
      </c>
      <c r="F10" s="7">
        <v>4</v>
      </c>
      <c r="G10" s="7">
        <v>7.8</v>
      </c>
      <c r="H10" s="7">
        <v>21</v>
      </c>
      <c r="I10" s="7">
        <v>7.5</v>
      </c>
      <c r="J10" s="7">
        <v>8.5</v>
      </c>
      <c r="K10" s="7">
        <v>3.8</v>
      </c>
      <c r="L10" s="7">
        <v>8.1999999999999993</v>
      </c>
      <c r="M10" s="7">
        <v>4.2</v>
      </c>
      <c r="N10" s="7">
        <v>8.1999999999999993</v>
      </c>
      <c r="O10" s="7">
        <f>SUM(E10:N10)</f>
        <v>81.2</v>
      </c>
      <c r="V10">
        <f t="shared" si="2"/>
        <v>0</v>
      </c>
    </row>
    <row r="11" spans="1:22" ht="22.5" x14ac:dyDescent="0.4">
      <c r="A11" s="3">
        <f t="shared" si="1"/>
        <v>7</v>
      </c>
      <c r="B11" s="4" t="s">
        <v>32</v>
      </c>
      <c r="C11" s="5" t="s">
        <v>33</v>
      </c>
      <c r="D11" s="6" t="s">
        <v>34</v>
      </c>
      <c r="E11" s="7">
        <v>5</v>
      </c>
      <c r="F11" s="7">
        <v>4</v>
      </c>
      <c r="G11" s="7">
        <v>7</v>
      </c>
      <c r="H11" s="7">
        <v>20</v>
      </c>
      <c r="I11" s="7">
        <v>7</v>
      </c>
      <c r="J11" s="7">
        <v>7</v>
      </c>
      <c r="K11" s="7">
        <v>4</v>
      </c>
      <c r="L11" s="7">
        <v>8</v>
      </c>
      <c r="M11" s="7">
        <v>4</v>
      </c>
      <c r="N11" s="7">
        <v>7</v>
      </c>
      <c r="O11" s="7">
        <f t="shared" ref="O11" si="3">E11+F11+G11+H11+I11+J11+K11+L11+M11+N11</f>
        <v>73</v>
      </c>
      <c r="V11">
        <f t="shared" si="2"/>
        <v>0</v>
      </c>
    </row>
    <row r="12" spans="1:22" ht="22.5" x14ac:dyDescent="0.4">
      <c r="A12" s="3">
        <f t="shared" si="1"/>
        <v>8</v>
      </c>
      <c r="B12" s="4" t="s">
        <v>35</v>
      </c>
      <c r="C12" s="5" t="s">
        <v>36</v>
      </c>
      <c r="D12" s="6" t="s">
        <v>37</v>
      </c>
      <c r="E12" s="7">
        <v>8</v>
      </c>
      <c r="F12" s="7">
        <v>3</v>
      </c>
      <c r="G12" s="7">
        <v>9</v>
      </c>
      <c r="H12" s="7">
        <v>24</v>
      </c>
      <c r="I12" s="7">
        <v>8</v>
      </c>
      <c r="J12" s="7">
        <v>8</v>
      </c>
      <c r="K12" s="7">
        <v>3</v>
      </c>
      <c r="L12" s="7">
        <v>7</v>
      </c>
      <c r="M12" s="7">
        <v>4</v>
      </c>
      <c r="N12" s="7">
        <v>8</v>
      </c>
      <c r="O12" s="14">
        <v>82</v>
      </c>
      <c r="V12">
        <f t="shared" si="2"/>
        <v>0</v>
      </c>
    </row>
    <row r="13" spans="1:22" ht="22.5" x14ac:dyDescent="0.4">
      <c r="A13" s="3">
        <f t="shared" si="1"/>
        <v>9</v>
      </c>
      <c r="B13" s="4" t="s">
        <v>38</v>
      </c>
      <c r="C13" s="5" t="s">
        <v>39</v>
      </c>
      <c r="D13" s="6" t="s">
        <v>40</v>
      </c>
      <c r="E13" s="7">
        <v>8.8000000000000007</v>
      </c>
      <c r="F13" s="7">
        <v>4.5</v>
      </c>
      <c r="G13" s="7">
        <v>8</v>
      </c>
      <c r="H13" s="7">
        <v>22</v>
      </c>
      <c r="I13" s="7">
        <v>9</v>
      </c>
      <c r="J13" s="7">
        <v>8.5</v>
      </c>
      <c r="K13" s="7">
        <v>4.5</v>
      </c>
      <c r="L13" s="7">
        <v>9</v>
      </c>
      <c r="M13" s="7">
        <v>4.5</v>
      </c>
      <c r="N13" s="7">
        <v>9</v>
      </c>
      <c r="O13" s="14">
        <v>87.8</v>
      </c>
      <c r="V13">
        <f t="shared" si="2"/>
        <v>0</v>
      </c>
    </row>
    <row r="14" spans="1:22" ht="22.5" x14ac:dyDescent="0.4">
      <c r="A14" s="3">
        <f t="shared" si="1"/>
        <v>10</v>
      </c>
      <c r="B14" s="4" t="s">
        <v>41</v>
      </c>
      <c r="C14" s="5" t="s">
        <v>42</v>
      </c>
      <c r="D14" s="6" t="s">
        <v>43</v>
      </c>
      <c r="E14" s="7">
        <v>8</v>
      </c>
      <c r="F14" s="7">
        <v>4</v>
      </c>
      <c r="G14" s="7">
        <v>9</v>
      </c>
      <c r="H14" s="7">
        <v>22</v>
      </c>
      <c r="I14" s="7">
        <v>10</v>
      </c>
      <c r="J14" s="7">
        <v>8</v>
      </c>
      <c r="K14" s="7">
        <v>5</v>
      </c>
      <c r="L14" s="7">
        <v>7</v>
      </c>
      <c r="M14" s="7">
        <v>4</v>
      </c>
      <c r="N14" s="7">
        <v>8</v>
      </c>
      <c r="O14" s="7">
        <f>SUBTOTAL(9,E14:N14)</f>
        <v>85</v>
      </c>
      <c r="V14">
        <f t="shared" si="2"/>
        <v>0</v>
      </c>
    </row>
    <row r="15" spans="1:22" ht="22.5" x14ac:dyDescent="0.4">
      <c r="A15" s="3">
        <f t="shared" si="1"/>
        <v>11</v>
      </c>
      <c r="B15" s="4" t="s">
        <v>44</v>
      </c>
      <c r="C15" s="5" t="s">
        <v>45</v>
      </c>
      <c r="D15" s="6" t="s">
        <v>24</v>
      </c>
      <c r="E15" s="7">
        <v>9</v>
      </c>
      <c r="F15" s="7">
        <v>5</v>
      </c>
      <c r="G15" s="7">
        <v>8</v>
      </c>
      <c r="H15" s="7">
        <v>20</v>
      </c>
      <c r="I15" s="7">
        <v>9</v>
      </c>
      <c r="J15" s="7">
        <v>8</v>
      </c>
      <c r="K15" s="7">
        <v>5</v>
      </c>
      <c r="L15" s="7">
        <v>9</v>
      </c>
      <c r="M15" s="7">
        <v>5</v>
      </c>
      <c r="N15" s="7">
        <v>8</v>
      </c>
      <c r="O15" s="7">
        <v>86</v>
      </c>
      <c r="V15">
        <f t="shared" si="2"/>
        <v>0</v>
      </c>
    </row>
    <row r="16" spans="1:22" ht="22.5" x14ac:dyDescent="0.4">
      <c r="A16" s="3">
        <f t="shared" si="1"/>
        <v>12</v>
      </c>
      <c r="B16" s="4" t="s">
        <v>46</v>
      </c>
      <c r="C16" s="5" t="s">
        <v>47</v>
      </c>
      <c r="D16" s="6" t="s">
        <v>34</v>
      </c>
      <c r="E16" s="7">
        <v>5</v>
      </c>
      <c r="F16" s="7">
        <v>4</v>
      </c>
      <c r="G16" s="7">
        <v>7</v>
      </c>
      <c r="H16" s="7">
        <v>20</v>
      </c>
      <c r="I16" s="7">
        <v>7</v>
      </c>
      <c r="J16" s="7">
        <v>7</v>
      </c>
      <c r="K16" s="7">
        <v>4</v>
      </c>
      <c r="L16" s="7">
        <v>6</v>
      </c>
      <c r="M16" s="7">
        <v>4</v>
      </c>
      <c r="N16" s="7">
        <v>7</v>
      </c>
      <c r="O16" s="7">
        <f>E16+F16+G16+H16+I16+J16+K16+L16+M16+N16</f>
        <v>71</v>
      </c>
      <c r="V16">
        <f t="shared" si="2"/>
        <v>0</v>
      </c>
    </row>
    <row r="17" spans="1:22" ht="22.5" x14ac:dyDescent="0.4">
      <c r="A17" s="3">
        <f t="shared" si="1"/>
        <v>13</v>
      </c>
      <c r="B17" s="4" t="s">
        <v>48</v>
      </c>
      <c r="C17" s="5" t="s">
        <v>49</v>
      </c>
      <c r="D17" s="6" t="s">
        <v>27</v>
      </c>
      <c r="E17" s="7">
        <v>8</v>
      </c>
      <c r="F17" s="7">
        <v>4</v>
      </c>
      <c r="G17" s="7">
        <v>7.8</v>
      </c>
      <c r="H17" s="7">
        <v>21</v>
      </c>
      <c r="I17" s="7">
        <v>7.4</v>
      </c>
      <c r="J17" s="7">
        <v>8.6</v>
      </c>
      <c r="K17" s="7">
        <v>4</v>
      </c>
      <c r="L17" s="7">
        <v>8.4</v>
      </c>
      <c r="M17" s="7">
        <v>4.2</v>
      </c>
      <c r="N17" s="7">
        <v>8.1999999999999993</v>
      </c>
      <c r="O17" s="7">
        <f>SUM(E17:N17)</f>
        <v>81.600000000000009</v>
      </c>
      <c r="V17">
        <f t="shared" si="2"/>
        <v>0</v>
      </c>
    </row>
    <row r="18" spans="1:22" ht="22.5" x14ac:dyDescent="0.4">
      <c r="A18" s="3">
        <f t="shared" si="1"/>
        <v>14</v>
      </c>
      <c r="B18" s="4" t="s">
        <v>50</v>
      </c>
      <c r="C18" s="5" t="s">
        <v>51</v>
      </c>
      <c r="D18" s="6" t="s">
        <v>34</v>
      </c>
      <c r="E18" s="7">
        <v>8</v>
      </c>
      <c r="F18" s="7">
        <v>4</v>
      </c>
      <c r="G18" s="7">
        <v>8</v>
      </c>
      <c r="H18" s="7">
        <v>22</v>
      </c>
      <c r="I18" s="7">
        <v>7</v>
      </c>
      <c r="J18" s="7">
        <v>8</v>
      </c>
      <c r="K18" s="7">
        <v>4</v>
      </c>
      <c r="L18" s="7">
        <v>8</v>
      </c>
      <c r="M18" s="7">
        <v>4</v>
      </c>
      <c r="N18" s="7">
        <v>7</v>
      </c>
      <c r="O18" s="7">
        <f>E18+F18+G18+H18+I18+J18+K18+L18+M18+N18</f>
        <v>80</v>
      </c>
      <c r="V18">
        <f t="shared" si="2"/>
        <v>0</v>
      </c>
    </row>
    <row r="19" spans="1:22" ht="22.5" x14ac:dyDescent="0.4">
      <c r="A19" s="3">
        <f t="shared" si="1"/>
        <v>15</v>
      </c>
      <c r="B19" s="4" t="s">
        <v>52</v>
      </c>
      <c r="C19" s="5" t="s">
        <v>53</v>
      </c>
      <c r="D19" s="6" t="s">
        <v>27</v>
      </c>
      <c r="E19" s="7">
        <v>8</v>
      </c>
      <c r="F19" s="7">
        <v>4</v>
      </c>
      <c r="G19" s="7">
        <v>7.8</v>
      </c>
      <c r="H19" s="7">
        <v>21</v>
      </c>
      <c r="I19" s="7">
        <v>7.4</v>
      </c>
      <c r="J19" s="7">
        <v>8.6</v>
      </c>
      <c r="K19" s="7">
        <v>4</v>
      </c>
      <c r="L19" s="7">
        <v>8.4</v>
      </c>
      <c r="M19" s="7">
        <v>4.2</v>
      </c>
      <c r="N19" s="7">
        <v>8.3000000000000007</v>
      </c>
      <c r="O19" s="7">
        <f t="shared" ref="O19:O20" si="4">SUM(E19:N19)</f>
        <v>81.7</v>
      </c>
      <c r="V19">
        <f t="shared" si="2"/>
        <v>0</v>
      </c>
    </row>
    <row r="20" spans="1:22" ht="22.5" x14ac:dyDescent="0.4">
      <c r="A20" s="3">
        <f t="shared" si="1"/>
        <v>16</v>
      </c>
      <c r="B20" s="4" t="s">
        <v>54</v>
      </c>
      <c r="C20" s="5" t="s">
        <v>55</v>
      </c>
      <c r="D20" s="6" t="s">
        <v>27</v>
      </c>
      <c r="E20" s="7">
        <v>7.8</v>
      </c>
      <c r="F20" s="7">
        <v>4</v>
      </c>
      <c r="G20" s="7">
        <v>7.8</v>
      </c>
      <c r="H20" s="7">
        <v>21</v>
      </c>
      <c r="I20" s="7">
        <v>7.4</v>
      </c>
      <c r="J20" s="7">
        <v>8.6</v>
      </c>
      <c r="K20" s="7">
        <v>4</v>
      </c>
      <c r="L20" s="7">
        <v>8.4</v>
      </c>
      <c r="M20" s="7">
        <v>4.2</v>
      </c>
      <c r="N20" s="7">
        <v>8.3000000000000007</v>
      </c>
      <c r="O20" s="7">
        <f t="shared" si="4"/>
        <v>81.5</v>
      </c>
      <c r="V20">
        <f t="shared" si="2"/>
        <v>0</v>
      </c>
    </row>
    <row r="21" spans="1:22" ht="22.5" x14ac:dyDescent="0.4">
      <c r="A21" s="3">
        <f t="shared" si="1"/>
        <v>17</v>
      </c>
      <c r="B21" s="4" t="s">
        <v>56</v>
      </c>
      <c r="C21" s="5" t="s">
        <v>57</v>
      </c>
      <c r="D21" s="6" t="s">
        <v>40</v>
      </c>
      <c r="E21" s="7">
        <v>8.8000000000000007</v>
      </c>
      <c r="F21" s="7">
        <v>4.5</v>
      </c>
      <c r="G21" s="7">
        <v>8</v>
      </c>
      <c r="H21" s="7">
        <v>22</v>
      </c>
      <c r="I21" s="7">
        <v>9</v>
      </c>
      <c r="J21" s="7">
        <v>8.5</v>
      </c>
      <c r="K21" s="7">
        <v>4.5</v>
      </c>
      <c r="L21" s="7">
        <v>9</v>
      </c>
      <c r="M21" s="7">
        <v>4.5</v>
      </c>
      <c r="N21" s="7">
        <v>8.5</v>
      </c>
      <c r="O21" s="14">
        <v>87.3</v>
      </c>
      <c r="V21">
        <f t="shared" si="2"/>
        <v>0</v>
      </c>
    </row>
    <row r="22" spans="1:22" ht="22.5" x14ac:dyDescent="0.4">
      <c r="A22" s="3">
        <f t="shared" si="1"/>
        <v>18</v>
      </c>
      <c r="B22" s="4" t="s">
        <v>58</v>
      </c>
      <c r="C22" s="5" t="s">
        <v>59</v>
      </c>
      <c r="D22" s="6" t="s">
        <v>40</v>
      </c>
      <c r="E22" s="7">
        <v>8.8000000000000007</v>
      </c>
      <c r="F22" s="7">
        <v>4.5</v>
      </c>
      <c r="G22" s="7">
        <v>8</v>
      </c>
      <c r="H22" s="7">
        <v>22</v>
      </c>
      <c r="I22" s="7">
        <v>9</v>
      </c>
      <c r="J22" s="7">
        <v>8.5</v>
      </c>
      <c r="K22" s="7">
        <v>4.5</v>
      </c>
      <c r="L22" s="7">
        <v>9</v>
      </c>
      <c r="M22" s="7">
        <v>4.5</v>
      </c>
      <c r="N22" s="7">
        <v>8.5</v>
      </c>
      <c r="O22" s="14">
        <v>87.3</v>
      </c>
      <c r="V22">
        <f t="shared" si="2"/>
        <v>0</v>
      </c>
    </row>
    <row r="23" spans="1:22" ht="22.5" x14ac:dyDescent="0.4">
      <c r="A23" s="3">
        <f t="shared" si="1"/>
        <v>19</v>
      </c>
      <c r="B23" s="4" t="s">
        <v>60</v>
      </c>
      <c r="C23" s="5" t="s">
        <v>61</v>
      </c>
      <c r="D23" s="6" t="s">
        <v>37</v>
      </c>
      <c r="E23" s="7">
        <v>8</v>
      </c>
      <c r="F23" s="7">
        <v>4</v>
      </c>
      <c r="G23" s="7">
        <v>8</v>
      </c>
      <c r="H23" s="7">
        <v>23</v>
      </c>
      <c r="I23" s="7">
        <v>9</v>
      </c>
      <c r="J23" s="7">
        <v>8</v>
      </c>
      <c r="K23" s="7">
        <v>4</v>
      </c>
      <c r="L23" s="7">
        <v>8</v>
      </c>
      <c r="M23" s="7">
        <v>3</v>
      </c>
      <c r="N23" s="7">
        <v>8</v>
      </c>
      <c r="O23" s="14">
        <v>83</v>
      </c>
      <c r="V23">
        <f t="shared" si="2"/>
        <v>0</v>
      </c>
    </row>
    <row r="24" spans="1:22" ht="22.5" x14ac:dyDescent="0.4">
      <c r="A24" s="3">
        <f t="shared" si="1"/>
        <v>20</v>
      </c>
      <c r="B24" s="4" t="s">
        <v>62</v>
      </c>
      <c r="C24" s="5" t="s">
        <v>63</v>
      </c>
      <c r="D24" s="6" t="s">
        <v>27</v>
      </c>
      <c r="E24" s="7">
        <v>8.6999999999999993</v>
      </c>
      <c r="F24" s="7">
        <v>4.3</v>
      </c>
      <c r="G24" s="7">
        <v>8.1999999999999993</v>
      </c>
      <c r="H24" s="7">
        <v>22</v>
      </c>
      <c r="I24" s="7">
        <v>8</v>
      </c>
      <c r="J24" s="7">
        <v>8.5</v>
      </c>
      <c r="K24" s="7">
        <v>4.5</v>
      </c>
      <c r="L24" s="7">
        <v>8.5</v>
      </c>
      <c r="M24" s="7">
        <v>4.2</v>
      </c>
      <c r="N24" s="7">
        <v>8.5</v>
      </c>
      <c r="O24" s="7">
        <f>SUM(E24:N24)</f>
        <v>85.4</v>
      </c>
      <c r="V24">
        <f t="shared" si="2"/>
        <v>0</v>
      </c>
    </row>
    <row r="25" spans="1:22" ht="22.5" x14ac:dyDescent="0.4">
      <c r="A25" s="3">
        <f t="shared" si="1"/>
        <v>21</v>
      </c>
      <c r="B25" s="4" t="s">
        <v>64</v>
      </c>
      <c r="C25" s="5" t="s">
        <v>65</v>
      </c>
      <c r="D25" s="6" t="s">
        <v>66</v>
      </c>
      <c r="E25" s="7">
        <v>8</v>
      </c>
      <c r="F25" s="7">
        <v>4</v>
      </c>
      <c r="G25" s="7">
        <v>8</v>
      </c>
      <c r="H25" s="7">
        <v>22</v>
      </c>
      <c r="I25" s="7">
        <v>7</v>
      </c>
      <c r="J25" s="7">
        <v>8</v>
      </c>
      <c r="K25" s="7">
        <v>4</v>
      </c>
      <c r="L25" s="7">
        <v>8</v>
      </c>
      <c r="M25" s="7">
        <v>4</v>
      </c>
      <c r="N25" s="7">
        <v>7</v>
      </c>
      <c r="O25" s="7">
        <f>E25+F25+G25+H25+I25+J25+K25+L25+M25+N25</f>
        <v>80</v>
      </c>
      <c r="V25">
        <f t="shared" si="2"/>
        <v>0</v>
      </c>
    </row>
    <row r="26" spans="1:22" ht="22.5" x14ac:dyDescent="0.4">
      <c r="A26" s="3">
        <f t="shared" si="1"/>
        <v>22</v>
      </c>
      <c r="B26" s="4" t="s">
        <v>67</v>
      </c>
      <c r="C26" s="5" t="s">
        <v>68</v>
      </c>
      <c r="D26" s="6" t="s">
        <v>69</v>
      </c>
      <c r="E26" s="7">
        <v>8</v>
      </c>
      <c r="F26" s="7">
        <v>5</v>
      </c>
      <c r="G26" s="7">
        <v>9</v>
      </c>
      <c r="H26" s="7">
        <v>22</v>
      </c>
      <c r="I26" s="7">
        <v>10</v>
      </c>
      <c r="J26" s="7">
        <v>8</v>
      </c>
      <c r="K26" s="7">
        <v>5</v>
      </c>
      <c r="L26" s="7">
        <v>8</v>
      </c>
      <c r="M26" s="7">
        <v>5</v>
      </c>
      <c r="N26" s="7">
        <v>9</v>
      </c>
      <c r="O26" s="7">
        <f>SUBTOTAL(9,E26:N26)</f>
        <v>89</v>
      </c>
      <c r="V26">
        <f t="shared" si="2"/>
        <v>0</v>
      </c>
    </row>
    <row r="27" spans="1:22" ht="22.5" x14ac:dyDescent="0.4">
      <c r="A27" s="3">
        <f t="shared" si="1"/>
        <v>23</v>
      </c>
      <c r="B27" s="4" t="s">
        <v>70</v>
      </c>
      <c r="C27" s="5" t="s">
        <v>71</v>
      </c>
      <c r="D27" s="6" t="s">
        <v>37</v>
      </c>
      <c r="E27" s="7">
        <v>9</v>
      </c>
      <c r="F27" s="7">
        <v>4</v>
      </c>
      <c r="G27" s="7">
        <v>7</v>
      </c>
      <c r="H27" s="7">
        <v>23</v>
      </c>
      <c r="I27" s="7">
        <v>8</v>
      </c>
      <c r="J27" s="7">
        <v>8</v>
      </c>
      <c r="K27" s="7">
        <v>4</v>
      </c>
      <c r="L27" s="7">
        <v>7</v>
      </c>
      <c r="M27" s="7">
        <v>3</v>
      </c>
      <c r="N27" s="7">
        <v>8</v>
      </c>
      <c r="O27" s="14">
        <v>81</v>
      </c>
      <c r="V27">
        <f t="shared" si="2"/>
        <v>0</v>
      </c>
    </row>
    <row r="28" spans="1:22" ht="22.5" x14ac:dyDescent="0.4">
      <c r="A28" s="3">
        <f t="shared" si="1"/>
        <v>24</v>
      </c>
      <c r="B28" s="4" t="s">
        <v>72</v>
      </c>
      <c r="C28" s="5" t="s">
        <v>73</v>
      </c>
      <c r="D28" s="6" t="s">
        <v>21</v>
      </c>
      <c r="E28" s="7">
        <v>5</v>
      </c>
      <c r="F28" s="7">
        <v>4</v>
      </c>
      <c r="G28" s="7">
        <v>8</v>
      </c>
      <c r="H28" s="7">
        <v>22</v>
      </c>
      <c r="I28" s="7">
        <v>7</v>
      </c>
      <c r="J28" s="7">
        <v>7</v>
      </c>
      <c r="K28" s="7">
        <v>4</v>
      </c>
      <c r="L28" s="7">
        <v>8</v>
      </c>
      <c r="M28" s="7">
        <v>4</v>
      </c>
      <c r="N28" s="7">
        <v>7</v>
      </c>
      <c r="O28" s="7">
        <f>E28+F28+G28+H28+I28+J28+K28+L28+M28+N28</f>
        <v>76</v>
      </c>
      <c r="V28">
        <f t="shared" si="2"/>
        <v>0</v>
      </c>
    </row>
    <row r="29" spans="1:22" ht="22.5" x14ac:dyDescent="0.4">
      <c r="A29" s="3">
        <f t="shared" si="1"/>
        <v>25</v>
      </c>
      <c r="B29" s="4" t="s">
        <v>74</v>
      </c>
      <c r="C29" s="5" t="s">
        <v>75</v>
      </c>
      <c r="D29" s="6" t="s">
        <v>66</v>
      </c>
      <c r="E29" s="7">
        <v>8</v>
      </c>
      <c r="F29" s="7">
        <v>4</v>
      </c>
      <c r="G29" s="7">
        <v>8</v>
      </c>
      <c r="H29" s="7">
        <v>22</v>
      </c>
      <c r="I29" s="7">
        <v>7</v>
      </c>
      <c r="J29" s="7">
        <v>8</v>
      </c>
      <c r="K29" s="7">
        <v>4</v>
      </c>
      <c r="L29" s="7">
        <v>8</v>
      </c>
      <c r="M29" s="7">
        <v>4</v>
      </c>
      <c r="N29" s="7">
        <v>7</v>
      </c>
      <c r="O29" s="7">
        <f>E29+F29+G29+H29+I29+J29+K29+L29+M29+N29</f>
        <v>80</v>
      </c>
      <c r="V29">
        <f t="shared" si="2"/>
        <v>0</v>
      </c>
    </row>
    <row r="30" spans="1:22" ht="22.5" x14ac:dyDescent="0.4">
      <c r="A30" s="3">
        <f t="shared" si="1"/>
        <v>26</v>
      </c>
      <c r="B30" s="4" t="s">
        <v>76</v>
      </c>
      <c r="C30" s="5" t="s">
        <v>77</v>
      </c>
      <c r="D30" s="6" t="s">
        <v>78</v>
      </c>
      <c r="E30" s="7">
        <v>8</v>
      </c>
      <c r="F30" s="7">
        <v>4</v>
      </c>
      <c r="G30" s="7">
        <v>8</v>
      </c>
      <c r="H30" s="7">
        <v>24</v>
      </c>
      <c r="I30" s="7">
        <v>8</v>
      </c>
      <c r="J30" s="7">
        <v>8</v>
      </c>
      <c r="K30" s="7">
        <v>4</v>
      </c>
      <c r="L30" s="7">
        <v>8</v>
      </c>
      <c r="M30" s="7">
        <v>4</v>
      </c>
      <c r="N30" s="7">
        <v>9</v>
      </c>
      <c r="O30" s="7">
        <f>E30+F30+G30+H30+I30+J30+K30+L30+M30+N30</f>
        <v>85</v>
      </c>
      <c r="V30">
        <f t="shared" si="2"/>
        <v>0</v>
      </c>
    </row>
    <row r="31" spans="1:22" ht="22.5" x14ac:dyDescent="0.4">
      <c r="A31" s="3">
        <f t="shared" si="1"/>
        <v>27</v>
      </c>
      <c r="B31" s="4" t="s">
        <v>79</v>
      </c>
      <c r="C31" s="5" t="s">
        <v>80</v>
      </c>
      <c r="D31" s="6" t="s">
        <v>78</v>
      </c>
      <c r="E31" s="7">
        <v>8</v>
      </c>
      <c r="F31" s="7">
        <v>4</v>
      </c>
      <c r="G31" s="7">
        <v>8</v>
      </c>
      <c r="H31" s="7">
        <v>24</v>
      </c>
      <c r="I31" s="7">
        <v>8</v>
      </c>
      <c r="J31" s="7">
        <v>8</v>
      </c>
      <c r="K31" s="7">
        <v>4</v>
      </c>
      <c r="L31" s="7">
        <v>8</v>
      </c>
      <c r="M31" s="7">
        <v>4</v>
      </c>
      <c r="N31" s="7">
        <v>9</v>
      </c>
      <c r="O31" s="7">
        <f>E31+F31+G31+H31+I31+J31+K31+L31+M31+N31</f>
        <v>85</v>
      </c>
      <c r="V31">
        <f t="shared" si="2"/>
        <v>0</v>
      </c>
    </row>
    <row r="32" spans="1:22" ht="22.5" x14ac:dyDescent="0.4">
      <c r="A32" s="3">
        <f t="shared" si="1"/>
        <v>28</v>
      </c>
      <c r="B32" s="4" t="s">
        <v>81</v>
      </c>
      <c r="C32" s="5" t="s">
        <v>82</v>
      </c>
      <c r="D32" s="6" t="s">
        <v>27</v>
      </c>
      <c r="E32" s="7">
        <v>8.5</v>
      </c>
      <c r="F32" s="7">
        <v>4</v>
      </c>
      <c r="G32" s="7">
        <v>8.1999999999999993</v>
      </c>
      <c r="H32" s="7">
        <v>21</v>
      </c>
      <c r="I32" s="7">
        <v>8</v>
      </c>
      <c r="J32" s="7">
        <v>8.6</v>
      </c>
      <c r="K32" s="7">
        <v>4</v>
      </c>
      <c r="L32" s="7">
        <v>8</v>
      </c>
      <c r="M32" s="7">
        <v>4.2</v>
      </c>
      <c r="N32" s="7">
        <v>8.3000000000000007</v>
      </c>
      <c r="O32" s="7">
        <f>SUM(E32:N32)</f>
        <v>82.800000000000011</v>
      </c>
      <c r="V32">
        <f t="shared" si="2"/>
        <v>0</v>
      </c>
    </row>
    <row r="33" spans="1:22" ht="22.5" x14ac:dyDescent="0.4">
      <c r="A33" s="3">
        <f t="shared" si="1"/>
        <v>29</v>
      </c>
      <c r="B33" s="4" t="s">
        <v>83</v>
      </c>
      <c r="C33" s="5" t="s">
        <v>84</v>
      </c>
      <c r="D33" s="6" t="s">
        <v>40</v>
      </c>
      <c r="E33" s="7">
        <v>8.5</v>
      </c>
      <c r="F33" s="7">
        <v>4.5</v>
      </c>
      <c r="G33" s="7">
        <v>8</v>
      </c>
      <c r="H33" s="7">
        <v>22</v>
      </c>
      <c r="I33" s="7">
        <v>9</v>
      </c>
      <c r="J33" s="7">
        <v>8</v>
      </c>
      <c r="K33" s="7">
        <v>4.5</v>
      </c>
      <c r="L33" s="7">
        <v>9</v>
      </c>
      <c r="M33" s="7">
        <v>4.5</v>
      </c>
      <c r="N33" s="7">
        <v>8.5</v>
      </c>
      <c r="O33" s="14">
        <v>86.5</v>
      </c>
      <c r="V33">
        <f t="shared" si="2"/>
        <v>0</v>
      </c>
    </row>
    <row r="34" spans="1:22" ht="22.5" x14ac:dyDescent="0.4">
      <c r="A34" s="3">
        <f t="shared" si="1"/>
        <v>30</v>
      </c>
      <c r="B34" s="4" t="s">
        <v>85</v>
      </c>
      <c r="C34" s="5" t="s">
        <v>86</v>
      </c>
      <c r="D34" s="6" t="s">
        <v>21</v>
      </c>
      <c r="E34" s="7">
        <v>5</v>
      </c>
      <c r="F34" s="7">
        <v>4</v>
      </c>
      <c r="G34" s="7">
        <v>8</v>
      </c>
      <c r="H34" s="7">
        <v>24</v>
      </c>
      <c r="I34" s="7">
        <v>7</v>
      </c>
      <c r="J34" s="7">
        <v>7</v>
      </c>
      <c r="K34" s="7">
        <v>4</v>
      </c>
      <c r="L34" s="7">
        <v>8</v>
      </c>
      <c r="M34" s="7">
        <v>4</v>
      </c>
      <c r="N34" s="7">
        <v>7</v>
      </c>
      <c r="O34" s="7">
        <f>E34+F34+G34+H34+I34+J34+K34+L34+M34+N34</f>
        <v>78</v>
      </c>
      <c r="V34">
        <f t="shared" si="2"/>
        <v>0</v>
      </c>
    </row>
    <row r="35" spans="1:22" ht="22.5" x14ac:dyDescent="0.4">
      <c r="A35" s="3">
        <f t="shared" si="1"/>
        <v>31</v>
      </c>
      <c r="B35" s="4" t="s">
        <v>87</v>
      </c>
      <c r="C35" s="5" t="s">
        <v>88</v>
      </c>
      <c r="D35" s="6" t="s">
        <v>40</v>
      </c>
      <c r="E35" s="7">
        <v>8.5</v>
      </c>
      <c r="F35" s="7">
        <v>4.5</v>
      </c>
      <c r="G35" s="7">
        <v>8</v>
      </c>
      <c r="H35" s="7">
        <v>22</v>
      </c>
      <c r="I35" s="7">
        <v>9</v>
      </c>
      <c r="J35" s="7">
        <v>8</v>
      </c>
      <c r="K35" s="7">
        <v>4.5</v>
      </c>
      <c r="L35" s="7">
        <v>9</v>
      </c>
      <c r="M35" s="7">
        <v>4.5</v>
      </c>
      <c r="N35" s="7">
        <v>8.5</v>
      </c>
      <c r="O35" s="14">
        <v>86.5</v>
      </c>
      <c r="V35">
        <f t="shared" si="2"/>
        <v>0</v>
      </c>
    </row>
    <row r="36" spans="1:22" ht="22.5" x14ac:dyDescent="0.4">
      <c r="A36" s="3">
        <f t="shared" si="1"/>
        <v>32</v>
      </c>
      <c r="B36" s="4" t="s">
        <v>89</v>
      </c>
      <c r="C36" s="5" t="s">
        <v>90</v>
      </c>
      <c r="D36" s="6" t="s">
        <v>69</v>
      </c>
      <c r="E36" s="7">
        <v>8</v>
      </c>
      <c r="F36" s="7">
        <v>5</v>
      </c>
      <c r="G36" s="7">
        <v>9</v>
      </c>
      <c r="H36" s="7">
        <v>22</v>
      </c>
      <c r="I36" s="7">
        <v>10</v>
      </c>
      <c r="J36" s="7">
        <v>8</v>
      </c>
      <c r="K36" s="7">
        <v>5</v>
      </c>
      <c r="L36" s="7">
        <v>8</v>
      </c>
      <c r="M36" s="7">
        <v>5</v>
      </c>
      <c r="N36" s="7">
        <v>9</v>
      </c>
      <c r="O36" s="7">
        <f>SUBTOTAL(9,E36:N36)</f>
        <v>89</v>
      </c>
      <c r="V36">
        <f t="shared" si="2"/>
        <v>0</v>
      </c>
    </row>
    <row r="37" spans="1:22" ht="22.5" x14ac:dyDescent="0.4">
      <c r="A37" s="3">
        <f t="shared" si="1"/>
        <v>33</v>
      </c>
      <c r="B37" s="4" t="s">
        <v>91</v>
      </c>
      <c r="C37" s="5" t="s">
        <v>92</v>
      </c>
      <c r="D37" s="6" t="s">
        <v>40</v>
      </c>
      <c r="E37" s="7">
        <v>8.5</v>
      </c>
      <c r="F37" s="7">
        <v>4.5</v>
      </c>
      <c r="G37" s="7">
        <v>8</v>
      </c>
      <c r="H37" s="7">
        <v>22</v>
      </c>
      <c r="I37" s="7">
        <v>9</v>
      </c>
      <c r="J37" s="7">
        <v>8</v>
      </c>
      <c r="K37" s="7">
        <v>4.5</v>
      </c>
      <c r="L37" s="7">
        <v>9</v>
      </c>
      <c r="M37" s="7">
        <v>4.5</v>
      </c>
      <c r="N37" s="7">
        <v>8.5</v>
      </c>
      <c r="O37" s="14">
        <v>86.5</v>
      </c>
      <c r="V37">
        <f t="shared" si="2"/>
        <v>0</v>
      </c>
    </row>
    <row r="38" spans="1:22" ht="22.5" x14ac:dyDescent="0.4">
      <c r="A38" s="3">
        <f t="shared" si="1"/>
        <v>34</v>
      </c>
      <c r="B38" s="4" t="s">
        <v>93</v>
      </c>
      <c r="C38" s="5" t="s">
        <v>94</v>
      </c>
      <c r="D38" s="6" t="s">
        <v>66</v>
      </c>
      <c r="E38" s="7">
        <v>8</v>
      </c>
      <c r="F38" s="7">
        <v>4</v>
      </c>
      <c r="G38" s="7">
        <v>8</v>
      </c>
      <c r="H38" s="7">
        <v>22</v>
      </c>
      <c r="I38" s="7">
        <v>7</v>
      </c>
      <c r="J38" s="7">
        <v>8</v>
      </c>
      <c r="K38" s="7">
        <v>4</v>
      </c>
      <c r="L38" s="7">
        <v>8</v>
      </c>
      <c r="M38" s="7">
        <v>4</v>
      </c>
      <c r="N38" s="7">
        <v>7</v>
      </c>
      <c r="O38" s="7">
        <f>E38+F38+G38+H38+I38+J38+K38+L38+M38+N38</f>
        <v>80</v>
      </c>
      <c r="V38">
        <f t="shared" si="2"/>
        <v>0</v>
      </c>
    </row>
    <row r="39" spans="1:22" ht="22.5" x14ac:dyDescent="0.4">
      <c r="A39" s="3">
        <f t="shared" si="1"/>
        <v>35</v>
      </c>
      <c r="B39" s="4" t="s">
        <v>95</v>
      </c>
      <c r="C39" s="5" t="s">
        <v>96</v>
      </c>
      <c r="D39" s="6" t="s">
        <v>40</v>
      </c>
      <c r="E39" s="7">
        <v>8.8000000000000007</v>
      </c>
      <c r="F39" s="7">
        <v>4.5</v>
      </c>
      <c r="G39" s="7">
        <v>8</v>
      </c>
      <c r="H39" s="7">
        <v>22</v>
      </c>
      <c r="I39" s="7">
        <v>9</v>
      </c>
      <c r="J39" s="7">
        <v>8.5</v>
      </c>
      <c r="K39" s="7">
        <v>4.5</v>
      </c>
      <c r="L39" s="7">
        <v>9</v>
      </c>
      <c r="M39" s="7">
        <v>4.5</v>
      </c>
      <c r="N39" s="7">
        <v>8.5</v>
      </c>
      <c r="O39" s="14">
        <v>87.3</v>
      </c>
      <c r="V39">
        <f t="shared" si="2"/>
        <v>0</v>
      </c>
    </row>
    <row r="40" spans="1:22" ht="22.5" x14ac:dyDescent="0.4">
      <c r="A40" s="3">
        <f t="shared" si="1"/>
        <v>36</v>
      </c>
      <c r="B40" s="4" t="s">
        <v>97</v>
      </c>
      <c r="C40" s="5" t="s">
        <v>98</v>
      </c>
      <c r="D40" s="6" t="s">
        <v>78</v>
      </c>
      <c r="E40" s="7">
        <v>8</v>
      </c>
      <c r="F40" s="7">
        <v>4</v>
      </c>
      <c r="G40" s="7">
        <v>8</v>
      </c>
      <c r="H40" s="7">
        <v>24</v>
      </c>
      <c r="I40" s="7">
        <v>8</v>
      </c>
      <c r="J40" s="7">
        <v>8</v>
      </c>
      <c r="K40" s="7">
        <v>4</v>
      </c>
      <c r="L40" s="7">
        <v>9</v>
      </c>
      <c r="M40" s="7">
        <v>5</v>
      </c>
      <c r="N40" s="7">
        <v>9</v>
      </c>
      <c r="O40" s="7">
        <f>E40+F40+G40+H40+I40+J40+K40+L40+M40+N40</f>
        <v>87</v>
      </c>
      <c r="V40">
        <f t="shared" si="2"/>
        <v>0</v>
      </c>
    </row>
    <row r="41" spans="1:22" ht="22.5" x14ac:dyDescent="0.4">
      <c r="A41" s="3">
        <f t="shared" si="1"/>
        <v>37</v>
      </c>
      <c r="B41" s="4" t="s">
        <v>99</v>
      </c>
      <c r="C41" s="5" t="s">
        <v>100</v>
      </c>
      <c r="D41" s="6" t="s">
        <v>21</v>
      </c>
      <c r="E41" s="7">
        <v>5</v>
      </c>
      <c r="F41" s="7">
        <v>4</v>
      </c>
      <c r="G41" s="7">
        <v>8</v>
      </c>
      <c r="H41" s="7">
        <v>20</v>
      </c>
      <c r="I41" s="7">
        <v>7</v>
      </c>
      <c r="J41" s="7">
        <v>7</v>
      </c>
      <c r="K41" s="7">
        <v>4</v>
      </c>
      <c r="L41" s="7">
        <v>8</v>
      </c>
      <c r="M41" s="7">
        <v>4</v>
      </c>
      <c r="N41" s="7">
        <v>7</v>
      </c>
      <c r="O41" s="7">
        <f>E41+F41+G41+H41+I41+J41+K41+L41+M41+N41</f>
        <v>74</v>
      </c>
      <c r="V41">
        <f t="shared" si="2"/>
        <v>0</v>
      </c>
    </row>
    <row r="42" spans="1:22" ht="22.5" x14ac:dyDescent="0.4">
      <c r="A42" s="3">
        <f t="shared" si="1"/>
        <v>38</v>
      </c>
      <c r="B42" s="4" t="s">
        <v>101</v>
      </c>
      <c r="C42" s="5" t="s">
        <v>102</v>
      </c>
      <c r="D42" s="6" t="s">
        <v>69</v>
      </c>
      <c r="E42" s="7">
        <v>8</v>
      </c>
      <c r="F42" s="7">
        <v>4</v>
      </c>
      <c r="G42" s="7">
        <v>8</v>
      </c>
      <c r="H42" s="7">
        <v>22</v>
      </c>
      <c r="I42" s="7">
        <v>8</v>
      </c>
      <c r="J42" s="7">
        <v>8</v>
      </c>
      <c r="K42" s="7">
        <v>4</v>
      </c>
      <c r="L42" s="7">
        <v>9</v>
      </c>
      <c r="M42" s="7">
        <v>4</v>
      </c>
      <c r="N42" s="7">
        <v>8</v>
      </c>
      <c r="O42" s="7">
        <v>83</v>
      </c>
      <c r="V42">
        <f t="shared" si="2"/>
        <v>0</v>
      </c>
    </row>
    <row r="43" spans="1:22" ht="22.5" x14ac:dyDescent="0.4">
      <c r="A43" s="3">
        <f t="shared" si="1"/>
        <v>39</v>
      </c>
      <c r="B43" s="4" t="s">
        <v>103</v>
      </c>
      <c r="C43" s="5" t="s">
        <v>104</v>
      </c>
      <c r="D43" s="6" t="s">
        <v>24</v>
      </c>
      <c r="E43" s="7">
        <v>7</v>
      </c>
      <c r="F43" s="7">
        <v>5</v>
      </c>
      <c r="G43" s="7">
        <v>7</v>
      </c>
      <c r="H43" s="7">
        <v>23</v>
      </c>
      <c r="I43" s="7">
        <v>8</v>
      </c>
      <c r="J43" s="7">
        <v>8</v>
      </c>
      <c r="K43" s="7">
        <v>5</v>
      </c>
      <c r="L43" s="7">
        <v>9</v>
      </c>
      <c r="M43" s="7">
        <v>5</v>
      </c>
      <c r="N43" s="7">
        <v>7</v>
      </c>
      <c r="O43" s="7">
        <v>84</v>
      </c>
      <c r="V43">
        <f t="shared" si="2"/>
        <v>0</v>
      </c>
    </row>
    <row r="44" spans="1:22" ht="22.5" x14ac:dyDescent="0.4">
      <c r="A44" s="3">
        <f t="shared" si="1"/>
        <v>40</v>
      </c>
      <c r="B44" s="4" t="s">
        <v>105</v>
      </c>
      <c r="C44" s="5" t="s">
        <v>106</v>
      </c>
      <c r="D44" s="6" t="s">
        <v>21</v>
      </c>
      <c r="E44" s="7">
        <v>5</v>
      </c>
      <c r="F44" s="7">
        <v>4</v>
      </c>
      <c r="G44" s="7">
        <v>8</v>
      </c>
      <c r="H44" s="7">
        <v>21</v>
      </c>
      <c r="I44" s="7">
        <v>7</v>
      </c>
      <c r="J44" s="7">
        <v>7</v>
      </c>
      <c r="K44" s="7">
        <v>4</v>
      </c>
      <c r="L44" s="7">
        <v>8</v>
      </c>
      <c r="M44" s="7">
        <v>4</v>
      </c>
      <c r="N44" s="7">
        <v>7</v>
      </c>
      <c r="O44" s="7">
        <f>E44+F44+G44+H44+I44+J44+K44+L44+M44+N44</f>
        <v>75</v>
      </c>
      <c r="V44">
        <f t="shared" si="2"/>
        <v>0</v>
      </c>
    </row>
    <row r="45" spans="1:22" ht="22.5" x14ac:dyDescent="0.4">
      <c r="A45" s="3">
        <f t="shared" si="1"/>
        <v>41</v>
      </c>
      <c r="B45" s="4" t="s">
        <v>107</v>
      </c>
      <c r="C45" s="5" t="s">
        <v>108</v>
      </c>
      <c r="D45" s="6" t="s">
        <v>78</v>
      </c>
      <c r="E45" s="7">
        <v>8</v>
      </c>
      <c r="F45" s="7">
        <v>4</v>
      </c>
      <c r="G45" s="7">
        <v>8</v>
      </c>
      <c r="H45" s="7">
        <v>24</v>
      </c>
      <c r="I45" s="7">
        <v>8</v>
      </c>
      <c r="J45" s="7">
        <v>8</v>
      </c>
      <c r="K45" s="7">
        <v>4</v>
      </c>
      <c r="L45" s="7">
        <v>8</v>
      </c>
      <c r="M45" s="7">
        <v>4</v>
      </c>
      <c r="N45" s="7">
        <v>9</v>
      </c>
      <c r="O45" s="7">
        <f>E45+F45+G45+H45+I45+J45+K45+L45+M45+N45</f>
        <v>85</v>
      </c>
      <c r="V45">
        <f t="shared" si="2"/>
        <v>0</v>
      </c>
    </row>
    <row r="46" spans="1:22" ht="22.5" x14ac:dyDescent="0.4">
      <c r="A46" s="3">
        <f t="shared" si="1"/>
        <v>42</v>
      </c>
      <c r="B46" s="4" t="s">
        <v>109</v>
      </c>
      <c r="C46" s="5" t="s">
        <v>110</v>
      </c>
      <c r="D46" s="6" t="s">
        <v>24</v>
      </c>
      <c r="E46" s="7">
        <v>8</v>
      </c>
      <c r="F46" s="7">
        <v>4</v>
      </c>
      <c r="G46" s="7">
        <v>10</v>
      </c>
      <c r="H46" s="7">
        <v>21</v>
      </c>
      <c r="I46" s="7">
        <v>8</v>
      </c>
      <c r="J46" s="7">
        <v>9</v>
      </c>
      <c r="K46" s="7">
        <v>5</v>
      </c>
      <c r="L46" s="7">
        <v>8</v>
      </c>
      <c r="M46" s="7">
        <v>4</v>
      </c>
      <c r="N46" s="7">
        <v>8</v>
      </c>
      <c r="O46" s="7">
        <v>85</v>
      </c>
      <c r="V46">
        <f t="shared" si="2"/>
        <v>0</v>
      </c>
    </row>
    <row r="47" spans="1:22" ht="22.5" x14ac:dyDescent="0.4">
      <c r="A47" s="3">
        <f t="shared" si="1"/>
        <v>43</v>
      </c>
      <c r="B47" s="4" t="s">
        <v>111</v>
      </c>
      <c r="C47" s="5" t="s">
        <v>112</v>
      </c>
      <c r="D47" s="6" t="s">
        <v>24</v>
      </c>
      <c r="E47" s="7">
        <v>7</v>
      </c>
      <c r="F47" s="7">
        <v>5</v>
      </c>
      <c r="G47" s="7">
        <v>9</v>
      </c>
      <c r="H47" s="7">
        <v>20</v>
      </c>
      <c r="I47" s="7">
        <v>8</v>
      </c>
      <c r="J47" s="7">
        <v>8</v>
      </c>
      <c r="K47" s="7">
        <v>5</v>
      </c>
      <c r="L47" s="7">
        <v>9</v>
      </c>
      <c r="M47" s="7">
        <v>5</v>
      </c>
      <c r="N47" s="7">
        <v>9</v>
      </c>
      <c r="O47" s="7">
        <v>85</v>
      </c>
      <c r="V47">
        <f t="shared" si="2"/>
        <v>0</v>
      </c>
    </row>
    <row r="48" spans="1:22" ht="22.5" x14ac:dyDescent="0.4">
      <c r="A48" s="3">
        <f t="shared" si="1"/>
        <v>44</v>
      </c>
      <c r="B48" s="4" t="s">
        <v>113</v>
      </c>
      <c r="C48" s="5" t="s">
        <v>114</v>
      </c>
      <c r="D48" s="6" t="s">
        <v>43</v>
      </c>
      <c r="E48" s="7">
        <v>8</v>
      </c>
      <c r="F48" s="7">
        <v>5</v>
      </c>
      <c r="G48" s="7">
        <v>9</v>
      </c>
      <c r="H48" s="7">
        <v>22</v>
      </c>
      <c r="I48" s="7">
        <v>10</v>
      </c>
      <c r="J48" s="7">
        <v>9</v>
      </c>
      <c r="K48" s="7">
        <v>5</v>
      </c>
      <c r="L48" s="7">
        <v>8</v>
      </c>
      <c r="M48" s="7">
        <v>5</v>
      </c>
      <c r="N48" s="7">
        <v>9</v>
      </c>
      <c r="O48" s="7">
        <f>SUBTOTAL(9,E48:N48)</f>
        <v>90</v>
      </c>
      <c r="V48">
        <f t="shared" si="2"/>
        <v>0</v>
      </c>
    </row>
    <row r="49" spans="1:22" ht="22.5" x14ac:dyDescent="0.4">
      <c r="A49" s="3">
        <f t="shared" si="1"/>
        <v>45</v>
      </c>
      <c r="B49" s="4" t="s">
        <v>115</v>
      </c>
      <c r="C49" s="5" t="s">
        <v>116</v>
      </c>
      <c r="D49" s="6" t="s">
        <v>34</v>
      </c>
      <c r="E49" s="7">
        <v>5</v>
      </c>
      <c r="F49" s="7">
        <v>4</v>
      </c>
      <c r="G49" s="7">
        <v>7</v>
      </c>
      <c r="H49" s="7">
        <v>20</v>
      </c>
      <c r="I49" s="7">
        <v>7</v>
      </c>
      <c r="J49" s="7">
        <v>7</v>
      </c>
      <c r="K49" s="7">
        <v>4</v>
      </c>
      <c r="L49" s="7">
        <v>6</v>
      </c>
      <c r="M49" s="7">
        <v>4</v>
      </c>
      <c r="N49" s="7">
        <v>7</v>
      </c>
      <c r="O49" s="7">
        <f>E49+F49+G49+H49+I49+J49+K49+L49+M49+N49</f>
        <v>71</v>
      </c>
      <c r="V49">
        <f t="shared" si="2"/>
        <v>0</v>
      </c>
    </row>
    <row r="50" spans="1:22" ht="22.5" x14ac:dyDescent="0.4">
      <c r="A50" s="3">
        <f t="shared" si="1"/>
        <v>46</v>
      </c>
      <c r="B50" s="4" t="s">
        <v>117</v>
      </c>
      <c r="C50" s="5" t="s">
        <v>118</v>
      </c>
      <c r="D50" s="6" t="s">
        <v>24</v>
      </c>
      <c r="E50" s="7">
        <v>8</v>
      </c>
      <c r="F50" s="7">
        <v>4</v>
      </c>
      <c r="G50" s="7">
        <v>8</v>
      </c>
      <c r="H50" s="7">
        <v>18</v>
      </c>
      <c r="I50" s="7">
        <v>10</v>
      </c>
      <c r="J50" s="7">
        <v>9</v>
      </c>
      <c r="K50" s="7">
        <v>5</v>
      </c>
      <c r="L50" s="7">
        <v>9</v>
      </c>
      <c r="M50" s="7">
        <v>5</v>
      </c>
      <c r="N50" s="7">
        <v>8</v>
      </c>
      <c r="O50" s="7">
        <v>84</v>
      </c>
      <c r="V50">
        <f t="shared" si="2"/>
        <v>0</v>
      </c>
    </row>
    <row r="51" spans="1:22" ht="22.5" x14ac:dyDescent="0.4">
      <c r="A51" s="3">
        <f t="shared" si="1"/>
        <v>47</v>
      </c>
      <c r="B51" s="4" t="s">
        <v>119</v>
      </c>
      <c r="C51" s="5" t="s">
        <v>120</v>
      </c>
      <c r="D51" s="6" t="s">
        <v>69</v>
      </c>
      <c r="E51" s="7">
        <v>8</v>
      </c>
      <c r="F51" s="7">
        <v>4</v>
      </c>
      <c r="G51" s="7">
        <v>8</v>
      </c>
      <c r="H51" s="7">
        <v>22</v>
      </c>
      <c r="I51" s="7">
        <v>8</v>
      </c>
      <c r="J51" s="7">
        <v>8</v>
      </c>
      <c r="K51" s="7">
        <v>4</v>
      </c>
      <c r="L51" s="7">
        <v>9</v>
      </c>
      <c r="M51" s="7">
        <v>4</v>
      </c>
      <c r="N51" s="7">
        <v>8</v>
      </c>
      <c r="O51" s="7">
        <v>83</v>
      </c>
      <c r="V51">
        <f t="shared" si="2"/>
        <v>0</v>
      </c>
    </row>
    <row r="52" spans="1:22" ht="22.5" x14ac:dyDescent="0.4">
      <c r="A52" s="3">
        <f t="shared" si="1"/>
        <v>48</v>
      </c>
      <c r="B52" s="4" t="s">
        <v>121</v>
      </c>
      <c r="C52" s="5" t="s">
        <v>122</v>
      </c>
      <c r="D52" s="6" t="s">
        <v>78</v>
      </c>
      <c r="E52" s="7">
        <v>8</v>
      </c>
      <c r="F52" s="7">
        <v>4</v>
      </c>
      <c r="G52" s="7">
        <v>8</v>
      </c>
      <c r="H52" s="7">
        <v>24</v>
      </c>
      <c r="I52" s="7">
        <v>8</v>
      </c>
      <c r="J52" s="7">
        <v>8</v>
      </c>
      <c r="K52" s="7">
        <v>4</v>
      </c>
      <c r="L52" s="7">
        <v>9</v>
      </c>
      <c r="M52" s="7">
        <v>5</v>
      </c>
      <c r="N52" s="7">
        <v>9</v>
      </c>
      <c r="O52" s="7">
        <f>E52+F52+G52+H52+I52+J52+K52+L52+M52+N52</f>
        <v>87</v>
      </c>
      <c r="V52">
        <f t="shared" si="2"/>
        <v>0</v>
      </c>
    </row>
    <row r="53" spans="1:22" ht="22.5" x14ac:dyDescent="0.4">
      <c r="A53" s="3">
        <f t="shared" si="1"/>
        <v>49</v>
      </c>
      <c r="B53" s="4" t="s">
        <v>123</v>
      </c>
      <c r="C53" s="5" t="s">
        <v>124</v>
      </c>
      <c r="D53" s="6" t="s">
        <v>40</v>
      </c>
      <c r="E53" s="7">
        <v>8.5</v>
      </c>
      <c r="F53" s="7">
        <v>4.5</v>
      </c>
      <c r="G53" s="7">
        <v>8</v>
      </c>
      <c r="H53" s="7">
        <v>22</v>
      </c>
      <c r="I53" s="7">
        <v>9</v>
      </c>
      <c r="J53" s="7">
        <v>8</v>
      </c>
      <c r="K53" s="7">
        <v>4.5</v>
      </c>
      <c r="L53" s="7">
        <v>9</v>
      </c>
      <c r="M53" s="7">
        <v>4.5</v>
      </c>
      <c r="N53" s="7">
        <v>8.5</v>
      </c>
      <c r="O53" s="14">
        <v>86.5</v>
      </c>
      <c r="V53">
        <f t="shared" si="2"/>
        <v>0</v>
      </c>
    </row>
    <row r="54" spans="1:22" ht="22.5" x14ac:dyDescent="0.4">
      <c r="A54" s="3">
        <f t="shared" si="1"/>
        <v>50</v>
      </c>
      <c r="B54" s="4" t="s">
        <v>125</v>
      </c>
      <c r="C54" s="5" t="s">
        <v>126</v>
      </c>
      <c r="D54" s="6" t="s">
        <v>37</v>
      </c>
      <c r="E54" s="7">
        <v>9</v>
      </c>
      <c r="F54" s="7">
        <v>3</v>
      </c>
      <c r="G54" s="7">
        <v>8</v>
      </c>
      <c r="H54" s="7">
        <v>23</v>
      </c>
      <c r="I54" s="7">
        <v>7</v>
      </c>
      <c r="J54" s="7">
        <v>8</v>
      </c>
      <c r="K54" s="7">
        <v>4</v>
      </c>
      <c r="L54" s="7">
        <v>8</v>
      </c>
      <c r="M54" s="7">
        <v>4</v>
      </c>
      <c r="N54" s="7">
        <v>6</v>
      </c>
      <c r="O54" s="14">
        <v>80</v>
      </c>
      <c r="V54">
        <f t="shared" si="2"/>
        <v>0</v>
      </c>
    </row>
    <row r="55" spans="1:22" ht="22.5" x14ac:dyDescent="0.4">
      <c r="A55" s="3">
        <f t="shared" si="1"/>
        <v>51</v>
      </c>
      <c r="B55" s="4" t="s">
        <v>127</v>
      </c>
      <c r="C55" s="5" t="s">
        <v>128</v>
      </c>
      <c r="D55" s="6" t="s">
        <v>78</v>
      </c>
      <c r="E55" s="7">
        <v>8</v>
      </c>
      <c r="F55" s="7">
        <v>4</v>
      </c>
      <c r="G55" s="7">
        <v>8</v>
      </c>
      <c r="H55" s="7">
        <v>24</v>
      </c>
      <c r="I55" s="7">
        <v>8</v>
      </c>
      <c r="J55" s="7">
        <v>8</v>
      </c>
      <c r="K55" s="7">
        <v>4</v>
      </c>
      <c r="L55" s="7">
        <v>9</v>
      </c>
      <c r="M55" s="7">
        <v>5</v>
      </c>
      <c r="N55" s="7">
        <v>9</v>
      </c>
      <c r="O55" s="7">
        <f>E55+F55+G55+H55+I55+J55+K55+L55+M55+N55</f>
        <v>87</v>
      </c>
      <c r="V55">
        <f t="shared" si="2"/>
        <v>0</v>
      </c>
    </row>
    <row r="56" spans="1:22" ht="22.5" x14ac:dyDescent="0.4">
      <c r="A56" s="3">
        <f t="shared" si="1"/>
        <v>52</v>
      </c>
      <c r="B56" s="4" t="s">
        <v>129</v>
      </c>
      <c r="C56" s="5" t="s">
        <v>130</v>
      </c>
      <c r="D56" s="6" t="s">
        <v>78</v>
      </c>
      <c r="E56" s="7">
        <v>8</v>
      </c>
      <c r="F56" s="7">
        <v>4</v>
      </c>
      <c r="G56" s="7">
        <v>8</v>
      </c>
      <c r="H56" s="7">
        <v>24</v>
      </c>
      <c r="I56" s="7">
        <v>8</v>
      </c>
      <c r="J56" s="7">
        <v>8</v>
      </c>
      <c r="K56" s="7">
        <v>4</v>
      </c>
      <c r="L56" s="7">
        <v>9</v>
      </c>
      <c r="M56" s="7">
        <v>5</v>
      </c>
      <c r="N56" s="7">
        <v>9</v>
      </c>
      <c r="O56" s="7">
        <f>E56+F56+G56+H56+I56+J56+K56+L56+M56+N56</f>
        <v>87</v>
      </c>
      <c r="V56">
        <f t="shared" si="2"/>
        <v>0</v>
      </c>
    </row>
    <row r="57" spans="1:22" ht="22.5" x14ac:dyDescent="0.4">
      <c r="A57" s="3">
        <f t="shared" si="1"/>
        <v>53</v>
      </c>
      <c r="B57" s="4" t="s">
        <v>131</v>
      </c>
      <c r="C57" s="5" t="s">
        <v>132</v>
      </c>
      <c r="D57" s="6" t="s">
        <v>24</v>
      </c>
      <c r="E57" s="7">
        <v>9</v>
      </c>
      <c r="F57" s="7">
        <v>5</v>
      </c>
      <c r="G57" s="7">
        <v>9</v>
      </c>
      <c r="H57" s="7">
        <v>23</v>
      </c>
      <c r="I57" s="7">
        <v>8</v>
      </c>
      <c r="J57" s="7">
        <v>8</v>
      </c>
      <c r="K57" s="7">
        <v>5</v>
      </c>
      <c r="L57" s="7">
        <v>8</v>
      </c>
      <c r="M57" s="7">
        <v>5</v>
      </c>
      <c r="N57" s="7">
        <v>9</v>
      </c>
      <c r="O57" s="7">
        <v>89</v>
      </c>
      <c r="V57">
        <f t="shared" si="2"/>
        <v>0</v>
      </c>
    </row>
    <row r="58" spans="1:22" ht="22.5" x14ac:dyDescent="0.4">
      <c r="A58" s="3">
        <f t="shared" si="1"/>
        <v>54</v>
      </c>
      <c r="B58" s="4" t="s">
        <v>133</v>
      </c>
      <c r="C58" s="5" t="s">
        <v>134</v>
      </c>
      <c r="D58" s="6" t="s">
        <v>40</v>
      </c>
      <c r="E58">
        <v>8.8000000000000007</v>
      </c>
      <c r="F58" s="7">
        <v>4.5</v>
      </c>
      <c r="G58" s="7">
        <v>8</v>
      </c>
      <c r="H58" s="7">
        <v>22</v>
      </c>
      <c r="I58" s="7">
        <v>9</v>
      </c>
      <c r="J58" s="7">
        <v>8.5</v>
      </c>
      <c r="K58" s="7">
        <v>4.5</v>
      </c>
      <c r="L58" s="7">
        <v>9</v>
      </c>
      <c r="M58" s="7">
        <v>4.5</v>
      </c>
      <c r="N58" s="7">
        <v>8.5</v>
      </c>
      <c r="O58" s="14">
        <v>87.3</v>
      </c>
      <c r="V58">
        <f t="shared" si="2"/>
        <v>0</v>
      </c>
    </row>
    <row r="59" spans="1:22" ht="22.5" x14ac:dyDescent="0.4">
      <c r="A59" s="3">
        <f t="shared" si="1"/>
        <v>55</v>
      </c>
      <c r="B59" s="4" t="s">
        <v>135</v>
      </c>
      <c r="C59" s="5" t="s">
        <v>136</v>
      </c>
      <c r="D59" s="6" t="s">
        <v>27</v>
      </c>
      <c r="E59" s="7">
        <v>8.5</v>
      </c>
      <c r="F59" s="7">
        <v>4</v>
      </c>
      <c r="G59" s="7">
        <v>8.1999999999999993</v>
      </c>
      <c r="H59" s="7">
        <v>21</v>
      </c>
      <c r="I59" s="7">
        <v>8</v>
      </c>
      <c r="J59" s="7">
        <v>8.6</v>
      </c>
      <c r="K59" s="7">
        <v>4</v>
      </c>
      <c r="L59" s="7">
        <v>8</v>
      </c>
      <c r="M59" s="7">
        <v>4.2</v>
      </c>
      <c r="N59" s="7">
        <v>8.3000000000000007</v>
      </c>
      <c r="O59" s="7">
        <f>SUM(E59:N59)</f>
        <v>82.800000000000011</v>
      </c>
      <c r="V59">
        <f t="shared" si="2"/>
        <v>0</v>
      </c>
    </row>
    <row r="60" spans="1:22" ht="22.5" x14ac:dyDescent="0.4">
      <c r="A60" s="3">
        <f t="shared" si="1"/>
        <v>56</v>
      </c>
      <c r="B60" s="4" t="s">
        <v>137</v>
      </c>
      <c r="C60" s="5" t="s">
        <v>138</v>
      </c>
      <c r="D60" s="6" t="s">
        <v>34</v>
      </c>
      <c r="E60" s="7">
        <v>8</v>
      </c>
      <c r="F60" s="7">
        <v>4</v>
      </c>
      <c r="G60" s="7">
        <v>8</v>
      </c>
      <c r="H60" s="7">
        <v>23</v>
      </c>
      <c r="I60" s="7">
        <v>8</v>
      </c>
      <c r="J60" s="7">
        <v>8</v>
      </c>
      <c r="K60" s="7">
        <v>4</v>
      </c>
      <c r="L60" s="7">
        <v>8</v>
      </c>
      <c r="M60" s="7">
        <v>4</v>
      </c>
      <c r="N60" s="7">
        <v>7</v>
      </c>
      <c r="O60" s="7">
        <f>E60+F60+G60+H60+I60+J60+K60+L60+M60+N60</f>
        <v>82</v>
      </c>
      <c r="V60">
        <f t="shared" si="2"/>
        <v>0</v>
      </c>
    </row>
    <row r="61" spans="1:22" ht="22.5" x14ac:dyDescent="0.4">
      <c r="A61" s="3">
        <f t="shared" si="1"/>
        <v>57</v>
      </c>
      <c r="B61" s="4" t="s">
        <v>139</v>
      </c>
      <c r="C61" s="5" t="s">
        <v>140</v>
      </c>
      <c r="D61" s="6" t="s">
        <v>69</v>
      </c>
      <c r="E61" s="7">
        <v>8</v>
      </c>
      <c r="F61" s="7">
        <v>4</v>
      </c>
      <c r="G61" s="7">
        <v>8</v>
      </c>
      <c r="H61" s="7">
        <v>22</v>
      </c>
      <c r="I61" s="7">
        <v>8</v>
      </c>
      <c r="J61" s="7">
        <v>8</v>
      </c>
      <c r="K61" s="7">
        <v>4</v>
      </c>
      <c r="L61" s="7">
        <v>9</v>
      </c>
      <c r="M61" s="7">
        <v>4</v>
      </c>
      <c r="N61" s="7">
        <v>8</v>
      </c>
      <c r="O61" s="7">
        <v>83</v>
      </c>
      <c r="V61">
        <f t="shared" si="2"/>
        <v>0</v>
      </c>
    </row>
    <row r="62" spans="1:22" ht="22.5" x14ac:dyDescent="0.4">
      <c r="A62" s="3">
        <f t="shared" si="1"/>
        <v>58</v>
      </c>
      <c r="B62" s="4" t="s">
        <v>141</v>
      </c>
      <c r="C62" s="5" t="s">
        <v>142</v>
      </c>
      <c r="D62" s="6" t="s">
        <v>66</v>
      </c>
      <c r="E62" s="7">
        <v>8</v>
      </c>
      <c r="F62" s="7">
        <v>4</v>
      </c>
      <c r="G62" s="7">
        <v>8</v>
      </c>
      <c r="H62" s="7">
        <v>22</v>
      </c>
      <c r="I62" s="7">
        <v>7</v>
      </c>
      <c r="J62" s="7">
        <v>8</v>
      </c>
      <c r="K62" s="7">
        <v>4</v>
      </c>
      <c r="L62" s="7">
        <v>8</v>
      </c>
      <c r="M62" s="7">
        <v>4</v>
      </c>
      <c r="N62" s="7">
        <v>7</v>
      </c>
      <c r="O62" s="7">
        <f>E62+F62+G62+H62+I62+J62+K62+L62+M62+N62</f>
        <v>80</v>
      </c>
      <c r="V62">
        <f t="shared" si="2"/>
        <v>0</v>
      </c>
    </row>
    <row r="63" spans="1:22" ht="22.5" x14ac:dyDescent="0.4">
      <c r="A63" s="3">
        <f t="shared" si="1"/>
        <v>59</v>
      </c>
      <c r="B63" s="4" t="s">
        <v>143</v>
      </c>
      <c r="C63" s="5" t="s">
        <v>144</v>
      </c>
      <c r="D63" s="6" t="s">
        <v>78</v>
      </c>
      <c r="E63" s="7">
        <v>8</v>
      </c>
      <c r="F63" s="7">
        <v>4</v>
      </c>
      <c r="G63" s="7">
        <v>8</v>
      </c>
      <c r="H63" s="7">
        <v>24</v>
      </c>
      <c r="I63" s="7">
        <v>8</v>
      </c>
      <c r="J63" s="7">
        <v>8</v>
      </c>
      <c r="K63" s="7">
        <v>4</v>
      </c>
      <c r="L63" s="7">
        <v>8</v>
      </c>
      <c r="M63" s="7">
        <v>4</v>
      </c>
      <c r="N63" s="7">
        <v>9</v>
      </c>
      <c r="O63" s="7">
        <f>E63+F63+G63+H63+I63+J63+K63+L63+M63+N63</f>
        <v>85</v>
      </c>
      <c r="V63">
        <f t="shared" si="2"/>
        <v>0</v>
      </c>
    </row>
    <row r="64" spans="1:22" ht="22.5" x14ac:dyDescent="0.4">
      <c r="A64" s="3">
        <f t="shared" si="1"/>
        <v>60</v>
      </c>
      <c r="B64" s="4" t="s">
        <v>145</v>
      </c>
      <c r="C64" s="5" t="s">
        <v>146</v>
      </c>
      <c r="D64" s="6" t="s">
        <v>78</v>
      </c>
      <c r="E64" s="7">
        <v>8</v>
      </c>
      <c r="F64" s="7">
        <v>4</v>
      </c>
      <c r="G64" s="7">
        <v>8</v>
      </c>
      <c r="H64" s="7">
        <v>24</v>
      </c>
      <c r="I64" s="7">
        <v>8</v>
      </c>
      <c r="J64" s="7">
        <v>8</v>
      </c>
      <c r="K64" s="7">
        <v>4</v>
      </c>
      <c r="L64" s="7">
        <v>8</v>
      </c>
      <c r="M64" s="7">
        <v>4</v>
      </c>
      <c r="N64" s="7">
        <v>9</v>
      </c>
      <c r="O64" s="7">
        <f>E64+F64+G64+H64+I64+J64+K64+L64+M64+N64</f>
        <v>85</v>
      </c>
      <c r="V64">
        <f t="shared" si="2"/>
        <v>0</v>
      </c>
    </row>
    <row r="65" spans="1:22" ht="22.5" x14ac:dyDescent="0.4">
      <c r="A65" s="3">
        <f t="shared" si="1"/>
        <v>61</v>
      </c>
      <c r="B65" s="4" t="s">
        <v>147</v>
      </c>
      <c r="C65" s="5" t="s">
        <v>148</v>
      </c>
      <c r="D65" s="6" t="s">
        <v>69</v>
      </c>
      <c r="E65" s="7">
        <v>8</v>
      </c>
      <c r="F65" s="7">
        <v>5</v>
      </c>
      <c r="G65" s="7">
        <v>9</v>
      </c>
      <c r="H65" s="7">
        <v>22</v>
      </c>
      <c r="I65" s="7">
        <v>10</v>
      </c>
      <c r="J65" s="7">
        <v>8</v>
      </c>
      <c r="K65" s="7">
        <v>5</v>
      </c>
      <c r="L65" s="7">
        <v>8</v>
      </c>
      <c r="M65" s="7">
        <v>5</v>
      </c>
      <c r="N65" s="7">
        <v>9</v>
      </c>
      <c r="O65" s="7">
        <f>SUBTOTAL(9,E65:N65)</f>
        <v>89</v>
      </c>
      <c r="V65">
        <f t="shared" si="2"/>
        <v>0</v>
      </c>
    </row>
    <row r="66" spans="1:22" ht="22.5" x14ac:dyDescent="0.4">
      <c r="A66" s="3">
        <f t="shared" si="1"/>
        <v>62</v>
      </c>
      <c r="B66" s="4" t="s">
        <v>149</v>
      </c>
      <c r="C66" s="5" t="s">
        <v>150</v>
      </c>
      <c r="D66" s="6" t="s">
        <v>37</v>
      </c>
      <c r="E66">
        <v>9</v>
      </c>
      <c r="F66">
        <v>4</v>
      </c>
      <c r="G66">
        <v>7</v>
      </c>
      <c r="H66">
        <v>22</v>
      </c>
      <c r="I66">
        <v>8</v>
      </c>
      <c r="J66">
        <v>8</v>
      </c>
      <c r="K66">
        <v>4</v>
      </c>
      <c r="L66">
        <v>8</v>
      </c>
      <c r="M66">
        <v>4</v>
      </c>
      <c r="N66">
        <v>8</v>
      </c>
      <c r="O66">
        <v>82</v>
      </c>
      <c r="V66">
        <f t="shared" si="2"/>
        <v>0</v>
      </c>
    </row>
    <row r="67" spans="1:22" ht="22.5" x14ac:dyDescent="0.4">
      <c r="A67" s="3">
        <f t="shared" si="1"/>
        <v>63</v>
      </c>
      <c r="B67" s="4" t="s">
        <v>151</v>
      </c>
      <c r="C67" s="5" t="s">
        <v>152</v>
      </c>
      <c r="D67" s="6" t="s">
        <v>21</v>
      </c>
      <c r="E67" s="7">
        <v>5</v>
      </c>
      <c r="F67" s="7">
        <v>4</v>
      </c>
      <c r="G67" s="7">
        <v>8</v>
      </c>
      <c r="H67" s="7">
        <v>21</v>
      </c>
      <c r="I67" s="7">
        <v>7</v>
      </c>
      <c r="J67" s="7">
        <v>7</v>
      </c>
      <c r="K67" s="7">
        <v>4</v>
      </c>
      <c r="L67" s="7">
        <v>8</v>
      </c>
      <c r="M67" s="7">
        <v>4</v>
      </c>
      <c r="N67" s="7">
        <v>7</v>
      </c>
      <c r="O67" s="7">
        <f>E67+F67+G67+H67+I67+J67+K67+L67+M67+N67</f>
        <v>75</v>
      </c>
      <c r="V67">
        <f t="shared" si="2"/>
        <v>0</v>
      </c>
    </row>
    <row r="68" spans="1:22" ht="22.5" x14ac:dyDescent="0.4">
      <c r="A68" s="3">
        <f t="shared" si="1"/>
        <v>64</v>
      </c>
      <c r="B68" s="4" t="s">
        <v>153</v>
      </c>
      <c r="C68" s="5" t="s">
        <v>154</v>
      </c>
      <c r="D68" s="6" t="s">
        <v>43</v>
      </c>
      <c r="E68" s="7">
        <v>8</v>
      </c>
      <c r="F68" s="7">
        <v>5</v>
      </c>
      <c r="G68" s="7">
        <v>9</v>
      </c>
      <c r="H68" s="7">
        <v>22</v>
      </c>
      <c r="I68" s="7">
        <v>10</v>
      </c>
      <c r="J68" s="7">
        <v>9</v>
      </c>
      <c r="K68" s="7">
        <v>5</v>
      </c>
      <c r="L68" s="7">
        <v>8</v>
      </c>
      <c r="M68" s="7">
        <v>5</v>
      </c>
      <c r="N68" s="7">
        <v>9</v>
      </c>
      <c r="O68" s="7">
        <f>SUBTOTAL(9,E68:N68)</f>
        <v>90</v>
      </c>
      <c r="V68">
        <f t="shared" si="2"/>
        <v>0</v>
      </c>
    </row>
    <row r="69" spans="1:22" ht="22.5" x14ac:dyDescent="0.4">
      <c r="A69" s="3">
        <f t="shared" si="1"/>
        <v>65</v>
      </c>
      <c r="B69" s="4" t="s">
        <v>155</v>
      </c>
      <c r="C69" s="5" t="s">
        <v>156</v>
      </c>
      <c r="D69" s="6" t="s">
        <v>40</v>
      </c>
      <c r="E69" s="7">
        <v>8.5</v>
      </c>
      <c r="F69" s="7">
        <v>4.5</v>
      </c>
      <c r="G69" s="7">
        <v>8</v>
      </c>
      <c r="H69" s="7">
        <v>22</v>
      </c>
      <c r="I69" s="7">
        <v>9</v>
      </c>
      <c r="J69" s="7">
        <v>8</v>
      </c>
      <c r="K69" s="7">
        <v>4.5</v>
      </c>
      <c r="L69" s="7">
        <v>9</v>
      </c>
      <c r="M69" s="7">
        <v>4.5</v>
      </c>
      <c r="N69" s="7">
        <v>8.5</v>
      </c>
      <c r="O69" s="14">
        <v>86.5</v>
      </c>
      <c r="V69">
        <f t="shared" si="2"/>
        <v>0</v>
      </c>
    </row>
    <row r="70" spans="1:22" ht="22.5" x14ac:dyDescent="0.4">
      <c r="A70" s="3">
        <f t="shared" si="1"/>
        <v>66</v>
      </c>
      <c r="B70" s="4" t="s">
        <v>157</v>
      </c>
      <c r="C70" s="5" t="s">
        <v>158</v>
      </c>
      <c r="D70" s="6" t="s">
        <v>78</v>
      </c>
      <c r="E70" s="7">
        <v>8</v>
      </c>
      <c r="F70" s="7">
        <v>4</v>
      </c>
      <c r="G70" s="7">
        <v>8</v>
      </c>
      <c r="H70" s="7">
        <v>24</v>
      </c>
      <c r="I70" s="7">
        <v>8</v>
      </c>
      <c r="J70" s="7">
        <v>8</v>
      </c>
      <c r="K70" s="7">
        <v>4</v>
      </c>
      <c r="L70" s="7">
        <v>9</v>
      </c>
      <c r="M70" s="7">
        <v>5</v>
      </c>
      <c r="N70" s="7">
        <v>9</v>
      </c>
      <c r="O70" s="7">
        <f>E70+F70+G70+H70+I70+J70+K70+L70+M70+N70</f>
        <v>87</v>
      </c>
      <c r="V70">
        <f t="shared" si="2"/>
        <v>0</v>
      </c>
    </row>
    <row r="71" spans="1:22" ht="22.5" x14ac:dyDescent="0.4">
      <c r="A71" s="3">
        <f t="shared" ref="A71:A85" si="5">ROW()-4</f>
        <v>67</v>
      </c>
      <c r="B71" s="4" t="s">
        <v>159</v>
      </c>
      <c r="C71" s="5" t="s">
        <v>160</v>
      </c>
      <c r="D71" s="6" t="s">
        <v>34</v>
      </c>
      <c r="E71" s="7">
        <v>8</v>
      </c>
      <c r="F71" s="7">
        <v>4</v>
      </c>
      <c r="G71" s="7">
        <v>8</v>
      </c>
      <c r="H71" s="7">
        <v>22</v>
      </c>
      <c r="I71" s="7">
        <v>7</v>
      </c>
      <c r="J71" s="7">
        <v>8</v>
      </c>
      <c r="K71" s="7">
        <v>4</v>
      </c>
      <c r="L71" s="7">
        <v>8</v>
      </c>
      <c r="M71" s="7">
        <v>4</v>
      </c>
      <c r="N71" s="7">
        <v>7</v>
      </c>
      <c r="O71" s="7">
        <f t="shared" ref="O71" si="6">E71+F71+G71+H71+I71+J71+K71+L71+M71+N71</f>
        <v>80</v>
      </c>
      <c r="V71">
        <f t="shared" ref="V71:V85" si="7">P71+Q71+R71+S71+T71+U71</f>
        <v>0</v>
      </c>
    </row>
    <row r="72" spans="1:22" ht="22.5" x14ac:dyDescent="0.4">
      <c r="A72" s="3">
        <f t="shared" si="5"/>
        <v>68</v>
      </c>
      <c r="B72" s="4" t="s">
        <v>161</v>
      </c>
      <c r="C72" s="5" t="s">
        <v>162</v>
      </c>
      <c r="D72" s="6" t="s">
        <v>24</v>
      </c>
      <c r="E72" s="7">
        <v>10</v>
      </c>
      <c r="F72" s="7">
        <v>5</v>
      </c>
      <c r="G72" s="7">
        <v>9</v>
      </c>
      <c r="H72" s="7">
        <v>20</v>
      </c>
      <c r="I72" s="7">
        <v>8</v>
      </c>
      <c r="J72" s="7">
        <v>9</v>
      </c>
      <c r="K72" s="7">
        <v>5</v>
      </c>
      <c r="L72" s="7">
        <v>8</v>
      </c>
      <c r="M72" s="7">
        <v>5</v>
      </c>
      <c r="N72" s="7">
        <v>9</v>
      </c>
      <c r="O72" s="7">
        <v>88</v>
      </c>
      <c r="V72">
        <f t="shared" si="7"/>
        <v>0</v>
      </c>
    </row>
    <row r="73" spans="1:22" ht="22.5" x14ac:dyDescent="0.4">
      <c r="A73" s="3">
        <f t="shared" si="5"/>
        <v>69</v>
      </c>
      <c r="B73" s="4" t="s">
        <v>163</v>
      </c>
      <c r="C73" s="5" t="s">
        <v>164</v>
      </c>
      <c r="D73" s="6" t="s">
        <v>43</v>
      </c>
      <c r="E73" s="7">
        <v>8</v>
      </c>
      <c r="F73" s="7">
        <v>5</v>
      </c>
      <c r="G73" s="7">
        <v>9</v>
      </c>
      <c r="H73" s="7">
        <v>22</v>
      </c>
      <c r="I73" s="7">
        <v>10</v>
      </c>
      <c r="J73" s="7">
        <v>8</v>
      </c>
      <c r="K73" s="7">
        <v>5</v>
      </c>
      <c r="L73" s="7">
        <v>7</v>
      </c>
      <c r="M73" s="7">
        <v>5</v>
      </c>
      <c r="N73" s="7">
        <v>8</v>
      </c>
      <c r="O73" s="7">
        <f>SUBTOTAL(9,E73:N73)</f>
        <v>87</v>
      </c>
      <c r="V73">
        <f t="shared" si="7"/>
        <v>0</v>
      </c>
    </row>
    <row r="74" spans="1:22" ht="22.5" x14ac:dyDescent="0.4">
      <c r="A74" s="3">
        <f t="shared" si="5"/>
        <v>70</v>
      </c>
      <c r="B74" s="4" t="s">
        <v>165</v>
      </c>
      <c r="C74" s="5" t="s">
        <v>166</v>
      </c>
      <c r="D74" s="6" t="s">
        <v>34</v>
      </c>
      <c r="E74" s="7">
        <v>8</v>
      </c>
      <c r="F74" s="7">
        <v>4</v>
      </c>
      <c r="G74" s="7">
        <v>8</v>
      </c>
      <c r="H74" s="7">
        <v>22</v>
      </c>
      <c r="I74" s="7">
        <v>7</v>
      </c>
      <c r="J74" s="7">
        <v>8</v>
      </c>
      <c r="K74" s="7">
        <v>4</v>
      </c>
      <c r="L74" s="7">
        <v>8</v>
      </c>
      <c r="M74" s="7">
        <v>4</v>
      </c>
      <c r="N74" s="7">
        <v>7</v>
      </c>
      <c r="O74" s="7">
        <f>E74+F74+G74+H74+I74+J74+K74+L74+M74+N74</f>
        <v>80</v>
      </c>
      <c r="V74">
        <f t="shared" si="7"/>
        <v>0</v>
      </c>
    </row>
    <row r="75" spans="1:22" ht="22.5" x14ac:dyDescent="0.4">
      <c r="A75" s="3">
        <f t="shared" si="5"/>
        <v>71</v>
      </c>
      <c r="B75" s="4" t="s">
        <v>167</v>
      </c>
      <c r="C75" s="5" t="s">
        <v>168</v>
      </c>
      <c r="D75" s="6" t="s">
        <v>69</v>
      </c>
      <c r="E75" s="7">
        <v>8</v>
      </c>
      <c r="F75" s="7">
        <v>5</v>
      </c>
      <c r="G75" s="7">
        <v>9</v>
      </c>
      <c r="H75" s="7">
        <v>22</v>
      </c>
      <c r="I75" s="7">
        <v>10</v>
      </c>
      <c r="J75" s="7">
        <v>8</v>
      </c>
      <c r="K75" s="7">
        <v>5</v>
      </c>
      <c r="L75" s="7">
        <v>8</v>
      </c>
      <c r="M75" s="7">
        <v>5</v>
      </c>
      <c r="N75" s="7">
        <v>9</v>
      </c>
      <c r="O75" s="7">
        <f>SUBTOTAL(9,E75:N75)</f>
        <v>89</v>
      </c>
      <c r="V75">
        <f t="shared" si="7"/>
        <v>0</v>
      </c>
    </row>
    <row r="76" spans="1:22" ht="22.5" x14ac:dyDescent="0.4">
      <c r="A76" s="3">
        <f t="shared" si="5"/>
        <v>72</v>
      </c>
      <c r="B76" s="4" t="s">
        <v>169</v>
      </c>
      <c r="C76" s="5" t="s">
        <v>170</v>
      </c>
      <c r="D76" s="6" t="s">
        <v>69</v>
      </c>
      <c r="E76" s="7">
        <v>8</v>
      </c>
      <c r="F76" s="7">
        <v>4</v>
      </c>
      <c r="G76" s="7">
        <v>8</v>
      </c>
      <c r="H76" s="7">
        <v>22</v>
      </c>
      <c r="I76" s="7">
        <v>8</v>
      </c>
      <c r="J76" s="7">
        <v>8</v>
      </c>
      <c r="K76" s="7">
        <v>4</v>
      </c>
      <c r="L76" s="7">
        <v>9</v>
      </c>
      <c r="M76" s="7">
        <v>4</v>
      </c>
      <c r="N76" s="7">
        <v>8</v>
      </c>
      <c r="O76" s="7">
        <v>83</v>
      </c>
      <c r="V76">
        <f t="shared" si="7"/>
        <v>0</v>
      </c>
    </row>
    <row r="77" spans="1:22" ht="22.5" x14ac:dyDescent="0.4">
      <c r="A77" s="3">
        <f t="shared" si="5"/>
        <v>73</v>
      </c>
      <c r="B77" s="4" t="s">
        <v>171</v>
      </c>
      <c r="C77" s="5" t="s">
        <v>172</v>
      </c>
      <c r="D77" s="6" t="s">
        <v>27</v>
      </c>
      <c r="E77" s="7">
        <v>8</v>
      </c>
      <c r="F77" s="7">
        <v>4</v>
      </c>
      <c r="G77" s="7">
        <v>7.8</v>
      </c>
      <c r="H77" s="7">
        <v>21</v>
      </c>
      <c r="I77" s="7">
        <v>7.4</v>
      </c>
      <c r="J77" s="7">
        <v>8.6</v>
      </c>
      <c r="K77" s="7">
        <v>4</v>
      </c>
      <c r="L77" s="7">
        <v>8.4</v>
      </c>
      <c r="M77" s="7">
        <v>4.2</v>
      </c>
      <c r="N77" s="7">
        <v>8.1999999999999993</v>
      </c>
      <c r="O77" s="7">
        <f>SUM(E77:N77)</f>
        <v>81.600000000000009</v>
      </c>
      <c r="V77">
        <f t="shared" si="7"/>
        <v>0</v>
      </c>
    </row>
    <row r="78" spans="1:22" ht="22.5" x14ac:dyDescent="0.4">
      <c r="A78" s="3">
        <f t="shared" si="5"/>
        <v>74</v>
      </c>
      <c r="B78" s="4" t="s">
        <v>173</v>
      </c>
      <c r="C78" s="5" t="s">
        <v>174</v>
      </c>
      <c r="D78" s="6" t="s">
        <v>34</v>
      </c>
      <c r="E78" s="7">
        <v>5</v>
      </c>
      <c r="F78" s="7">
        <v>4</v>
      </c>
      <c r="G78" s="7">
        <v>7</v>
      </c>
      <c r="H78" s="7">
        <v>20</v>
      </c>
      <c r="I78" s="7">
        <v>7</v>
      </c>
      <c r="J78" s="7">
        <v>7</v>
      </c>
      <c r="K78" s="7">
        <v>4</v>
      </c>
      <c r="L78" s="7">
        <v>6</v>
      </c>
      <c r="M78" s="7">
        <v>4</v>
      </c>
      <c r="N78" s="7">
        <v>7</v>
      </c>
      <c r="O78" s="7">
        <f>E78+F78+G78+H78+I78+J78+K78+L78+M78+N78</f>
        <v>71</v>
      </c>
      <c r="V78">
        <f t="shared" si="7"/>
        <v>0</v>
      </c>
    </row>
    <row r="79" spans="1:22" ht="22.5" x14ac:dyDescent="0.4">
      <c r="A79" s="3">
        <f t="shared" si="5"/>
        <v>75</v>
      </c>
      <c r="B79" s="4" t="s">
        <v>175</v>
      </c>
      <c r="C79" s="5" t="s">
        <v>176</v>
      </c>
      <c r="D79" s="6" t="s">
        <v>34</v>
      </c>
      <c r="E79" s="7">
        <v>5</v>
      </c>
      <c r="F79" s="7">
        <v>4</v>
      </c>
      <c r="G79" s="7">
        <v>7</v>
      </c>
      <c r="H79" s="7">
        <v>20</v>
      </c>
      <c r="I79" s="7">
        <v>7</v>
      </c>
      <c r="J79" s="7">
        <v>7</v>
      </c>
      <c r="K79" s="7">
        <v>4</v>
      </c>
      <c r="L79" s="7">
        <v>6</v>
      </c>
      <c r="M79" s="7">
        <v>4</v>
      </c>
      <c r="N79" s="7">
        <v>7</v>
      </c>
      <c r="O79" s="7">
        <f>E79+F79+G79+H79+I79+J79+K79+L79+M79+N79</f>
        <v>71</v>
      </c>
      <c r="V79">
        <f t="shared" si="7"/>
        <v>0</v>
      </c>
    </row>
    <row r="80" spans="1:22" ht="22.5" x14ac:dyDescent="0.4">
      <c r="A80" s="3">
        <f t="shared" si="5"/>
        <v>76</v>
      </c>
      <c r="B80" s="4" t="s">
        <v>177</v>
      </c>
      <c r="C80" s="5" t="s">
        <v>178</v>
      </c>
      <c r="D80" s="6" t="s">
        <v>66</v>
      </c>
      <c r="E80" s="7">
        <v>8</v>
      </c>
      <c r="F80" s="7">
        <v>4</v>
      </c>
      <c r="G80" s="7">
        <v>8</v>
      </c>
      <c r="H80" s="7">
        <v>22</v>
      </c>
      <c r="I80" s="7">
        <v>7</v>
      </c>
      <c r="J80" s="7">
        <v>8</v>
      </c>
      <c r="K80" s="7">
        <v>4</v>
      </c>
      <c r="L80" s="7">
        <v>8</v>
      </c>
      <c r="M80" s="7">
        <v>4</v>
      </c>
      <c r="N80" s="7">
        <v>7</v>
      </c>
      <c r="O80" s="7">
        <f>E80+F80+G80+H80+I80+J80+K80+L80+M80+N80</f>
        <v>80</v>
      </c>
      <c r="V80">
        <f t="shared" si="7"/>
        <v>0</v>
      </c>
    </row>
    <row r="81" spans="1:22" ht="22.5" x14ac:dyDescent="0.4">
      <c r="A81" s="3">
        <f t="shared" si="5"/>
        <v>77</v>
      </c>
      <c r="B81" s="4" t="s">
        <v>179</v>
      </c>
      <c r="C81" s="5" t="s">
        <v>180</v>
      </c>
      <c r="D81" s="6" t="s">
        <v>27</v>
      </c>
      <c r="E81" s="7">
        <v>8</v>
      </c>
      <c r="F81" s="7">
        <v>4</v>
      </c>
      <c r="G81" s="7">
        <v>7.8</v>
      </c>
      <c r="H81" s="7">
        <v>21</v>
      </c>
      <c r="I81" s="7">
        <v>7.4</v>
      </c>
      <c r="J81" s="7">
        <v>8.6</v>
      </c>
      <c r="K81" s="7">
        <v>4</v>
      </c>
      <c r="L81" s="7">
        <v>8.4</v>
      </c>
      <c r="M81" s="7">
        <v>4.2</v>
      </c>
      <c r="N81" s="7">
        <v>8.1999999999999993</v>
      </c>
      <c r="O81" s="7">
        <f>SUM(E81:N81)</f>
        <v>81.600000000000009</v>
      </c>
      <c r="V81">
        <f t="shared" si="7"/>
        <v>0</v>
      </c>
    </row>
    <row r="82" spans="1:22" ht="22.5" x14ac:dyDescent="0.4">
      <c r="A82" s="3">
        <f t="shared" si="5"/>
        <v>78</v>
      </c>
      <c r="B82" s="4" t="s">
        <v>181</v>
      </c>
      <c r="C82" s="5" t="s">
        <v>182</v>
      </c>
      <c r="D82" s="6" t="s">
        <v>34</v>
      </c>
      <c r="E82" s="7">
        <v>8</v>
      </c>
      <c r="F82" s="7">
        <v>4</v>
      </c>
      <c r="G82" s="7">
        <v>8</v>
      </c>
      <c r="H82" s="7">
        <v>22</v>
      </c>
      <c r="I82" s="7">
        <v>7</v>
      </c>
      <c r="J82" s="7">
        <v>8</v>
      </c>
      <c r="K82" s="7">
        <v>4</v>
      </c>
      <c r="L82" s="7">
        <v>8</v>
      </c>
      <c r="M82" s="7">
        <v>4</v>
      </c>
      <c r="N82" s="7">
        <v>7</v>
      </c>
      <c r="O82" s="7">
        <f>E82+F82+G82+H82+I82+J82+K82+L82+M82+N82</f>
        <v>80</v>
      </c>
      <c r="V82">
        <f t="shared" si="7"/>
        <v>0</v>
      </c>
    </row>
    <row r="83" spans="1:22" ht="22.5" x14ac:dyDescent="0.4">
      <c r="A83" s="3">
        <f t="shared" si="5"/>
        <v>79</v>
      </c>
      <c r="B83" s="4" t="s">
        <v>183</v>
      </c>
      <c r="C83" s="5" t="s">
        <v>184</v>
      </c>
      <c r="D83" s="6" t="s">
        <v>43</v>
      </c>
      <c r="E83" s="7">
        <v>8</v>
      </c>
      <c r="F83" s="7">
        <v>5</v>
      </c>
      <c r="G83" s="7">
        <v>9</v>
      </c>
      <c r="H83" s="7">
        <v>22</v>
      </c>
      <c r="I83" s="7">
        <v>10</v>
      </c>
      <c r="J83" s="7">
        <v>9</v>
      </c>
      <c r="K83" s="7">
        <v>5</v>
      </c>
      <c r="L83" s="7">
        <v>9</v>
      </c>
      <c r="M83" s="7">
        <v>5</v>
      </c>
      <c r="N83" s="7">
        <v>9</v>
      </c>
      <c r="O83" s="7">
        <f>SUBTOTAL(9,E83:N83)</f>
        <v>91</v>
      </c>
      <c r="V83">
        <f t="shared" si="7"/>
        <v>0</v>
      </c>
    </row>
    <row r="84" spans="1:22" ht="22.5" x14ac:dyDescent="0.4">
      <c r="A84" s="3">
        <f t="shared" si="5"/>
        <v>80</v>
      </c>
      <c r="B84" s="4" t="s">
        <v>185</v>
      </c>
      <c r="C84" s="5" t="s">
        <v>186</v>
      </c>
      <c r="D84" s="6" t="s">
        <v>24</v>
      </c>
      <c r="E84" s="7">
        <v>8</v>
      </c>
      <c r="F84" s="7">
        <v>4</v>
      </c>
      <c r="G84" s="7">
        <v>8</v>
      </c>
      <c r="H84" s="7">
        <v>22</v>
      </c>
      <c r="I84" s="7">
        <v>8</v>
      </c>
      <c r="J84" s="7">
        <v>8</v>
      </c>
      <c r="K84" s="7">
        <v>4</v>
      </c>
      <c r="L84" s="7">
        <v>9</v>
      </c>
      <c r="M84" s="7">
        <v>4</v>
      </c>
      <c r="N84" s="7">
        <v>8</v>
      </c>
      <c r="O84" s="7">
        <v>83</v>
      </c>
      <c r="V84">
        <f t="shared" si="7"/>
        <v>0</v>
      </c>
    </row>
    <row r="85" spans="1:22" ht="22.5" x14ac:dyDescent="0.4">
      <c r="A85" s="3">
        <f t="shared" si="5"/>
        <v>81</v>
      </c>
      <c r="B85" s="4" t="s">
        <v>187</v>
      </c>
      <c r="C85" s="5" t="s">
        <v>188</v>
      </c>
      <c r="D85" s="6" t="s">
        <v>69</v>
      </c>
      <c r="E85" s="7">
        <v>8</v>
      </c>
      <c r="F85" s="7">
        <v>5</v>
      </c>
      <c r="G85" s="7">
        <v>9</v>
      </c>
      <c r="H85" s="7">
        <v>22</v>
      </c>
      <c r="I85" s="7">
        <v>10</v>
      </c>
      <c r="J85" s="7">
        <v>8</v>
      </c>
      <c r="K85" s="7">
        <v>5</v>
      </c>
      <c r="L85" s="7">
        <v>8</v>
      </c>
      <c r="M85" s="7">
        <v>5</v>
      </c>
      <c r="N85" s="7">
        <v>9</v>
      </c>
      <c r="O85" s="7">
        <f>SUBTOTAL(9,E85:N85)</f>
        <v>89</v>
      </c>
      <c r="V85">
        <f t="shared" si="7"/>
        <v>0</v>
      </c>
    </row>
    <row r="105" spans="7:16" x14ac:dyDescent="0.15">
      <c r="G105" s="7"/>
      <c r="H105" s="7"/>
      <c r="I105" s="7"/>
      <c r="J105" s="7"/>
      <c r="K105" s="7"/>
      <c r="L105" s="7"/>
      <c r="M105" s="7"/>
      <c r="N105" s="7"/>
      <c r="O105" s="7"/>
      <c r="P105" s="7"/>
    </row>
  </sheetData>
  <autoFilter ref="A5:O84" xr:uid="{00000000-0009-0000-0000-000000000000}"/>
  <mergeCells count="16">
    <mergeCell ref="V3:V5"/>
    <mergeCell ref="P2:V2"/>
    <mergeCell ref="P3:R3"/>
    <mergeCell ref="S3:U3"/>
    <mergeCell ref="E3:J3"/>
    <mergeCell ref="K3:M3"/>
    <mergeCell ref="E4:F4"/>
    <mergeCell ref="G4:I4"/>
    <mergeCell ref="L4:M4"/>
    <mergeCell ref="A3:A5"/>
    <mergeCell ref="B3:B5"/>
    <mergeCell ref="C3:C5"/>
    <mergeCell ref="D3:D5"/>
    <mergeCell ref="O4:O5"/>
    <mergeCell ref="A1:V1"/>
    <mergeCell ref="A2:O2"/>
  </mergeCells>
  <phoneticPr fontId="1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feiying2qu</cp:lastModifiedBy>
  <dcterms:created xsi:type="dcterms:W3CDTF">2022-07-07T02:54:00Z</dcterms:created>
  <dcterms:modified xsi:type="dcterms:W3CDTF">2025-05-22T01:59:20Z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99AF7C0D79134197A3E1A7C6465685D6</vt:lpwstr>
  </property>
  <property fmtid="{D5CDD505-2E9C-101B-9397-08002B2CF9AE}" pid="3" name="KSOProductBuildVer">
    <vt:lpwstr>2052-12.1.0.21171</vt:lpwstr>
  </property>
</Properties>
</file>